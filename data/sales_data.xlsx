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"/>
    </mc:Choice>
  </mc:AlternateContent>
  <xr:revisionPtr revIDLastSave="0" documentId="8_{FE19006A-2EAE-49A3-A027-CBE096150B4E}" xr6:coauthVersionLast="47" xr6:coauthVersionMax="47" xr10:uidLastSave="{00000000-0000-0000-0000-000000000000}"/>
  <bookViews>
    <workbookView xWindow="-110" yWindow="-110" windowWidth="19420" windowHeight="10300" xr2:uid="{B0D279A9-84FC-4459-A808-5C40DF9616A0}"/>
  </bookViews>
  <sheets>
    <sheet name="DATA_ANALYSIS_PROJEC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1" l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</calcChain>
</file>

<file path=xl/sharedStrings.xml><?xml version="1.0" encoding="utf-8"?>
<sst xmlns="http://schemas.openxmlformats.org/spreadsheetml/2006/main" count="2014" uniqueCount="26">
  <si>
    <t>product_name</t>
  </si>
  <si>
    <t>category</t>
  </si>
  <si>
    <t>price</t>
  </si>
  <si>
    <t>units_sold</t>
  </si>
  <si>
    <t>rating</t>
  </si>
  <si>
    <t>in_stock</t>
  </si>
  <si>
    <t>Backpack</t>
  </si>
  <si>
    <t>Fashion</t>
  </si>
  <si>
    <t>Keyboard</t>
  </si>
  <si>
    <t>Electronics</t>
  </si>
  <si>
    <t>Mouse</t>
  </si>
  <si>
    <t>Headphones</t>
  </si>
  <si>
    <t>Watch</t>
  </si>
  <si>
    <t>Smartphone</t>
  </si>
  <si>
    <t>Camera</t>
  </si>
  <si>
    <t>T-shirt</t>
  </si>
  <si>
    <t>Laptop</t>
  </si>
  <si>
    <t>Shoes</t>
  </si>
  <si>
    <t>Product_id</t>
  </si>
  <si>
    <t>Total_Revenue</t>
  </si>
  <si>
    <t>Stock_Status</t>
  </si>
  <si>
    <t>Rating_category</t>
  </si>
  <si>
    <t>Price_category</t>
  </si>
  <si>
    <t>Sales_category</t>
  </si>
  <si>
    <t>Demand Vs Stock_flag</t>
  </si>
  <si>
    <t>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</si>
</sst>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0D2E4F-C274-47FA-8C44-A461CA8082FC}" name="Table1" displayName="Table1" ref="A1:N1001" totalsRowShown="0">
  <autoFilter ref="A1:N1001" xr:uid="{A10D2E4F-C274-47FA-8C44-A461CA8082FC}"/>
  <sortState xmlns:xlrd2="http://schemas.microsoft.com/office/spreadsheetml/2017/richdata2" ref="A2:L1001">
    <sortCondition ref="A1:A1001"/>
  </sortState>
  <tableColumns count="14">
    <tableColumn id="1" xr3:uid="{5A8F17E6-5ED2-4EE3-9852-9679E3B13D9B}" name="Product_id" dataDxfId="7">
      <calculatedColumnFormula>"P"&amp;TEXT(ROW()-1,"000")</calculatedColumnFormula>
    </tableColumn>
    <tableColumn id="2" xr3:uid="{31C12483-C405-466D-ACDE-2CACB3BF746C}" name="product_name"/>
    <tableColumn id="3" xr3:uid="{26CCD64B-DC2F-40D3-A048-1B418FAE4F0A}" name="category"/>
    <tableColumn id="4" xr3:uid="{88646BC8-1886-42D4-8E22-901C4A800D3B}" name="price"/>
    <tableColumn id="5" xr3:uid="{40DC21E6-19AF-4CD1-B033-D3810FA4DB5F}" name="units_sold"/>
    <tableColumn id="6" xr3:uid="{EE4E3CBC-1916-47D7-92E0-43686D26EB45}" name="rating"/>
    <tableColumn id="7" xr3:uid="{97CD3F0B-1601-4B09-8DEC-BCB1D0E05ECF}" name="in_stock"/>
    <tableColumn id="8" xr3:uid="{D95AEFAD-3913-4325-AF74-6412AB37E5A1}" name="Total_Revenue" dataDxfId="6">
      <calculatedColumnFormula>(Table1[[#This Row],[price]]*Table1[[#This Row],[units_sold]])</calculatedColumnFormula>
    </tableColumn>
    <tableColumn id="9" xr3:uid="{A67AFFB2-2D8F-46A1-8B81-969690D6FF77}" name="Stock_Status" dataDxfId="5">
      <calculatedColumnFormula>IF(Table1[[#This Row],[in_stock]]=TRUE,"Available","Out of stock")</calculatedColumnFormula>
    </tableColumn>
    <tableColumn id="10" xr3:uid="{752618EB-99C4-4D42-B70C-B29242806B80}" name="Rating_category" dataDxfId="4">
      <calculatedColumnFormula>IF(Table1[[#This Row],[rating]]&gt;=4,"High",IF(Table1[[#This Row],[rating]]&gt;=2.5,"Medium","Low"))</calculatedColumnFormula>
    </tableColumn>
    <tableColumn id="11" xr3:uid="{5FF012DE-1125-465D-8170-E0B85A95D3C9}" name="Price_category" dataDxfId="3">
      <calculatedColumnFormula>IF(Table1[[#This Row],[price]]&lt;200,"Budget",IF(Table1[[#This Row],[price]]&lt;600,"Mid-Range",IF(Table1[[#This Row],[price]]&lt;1000,"Premium","Luxury")))</calculatedColumnFormula>
    </tableColumn>
    <tableColumn id="12" xr3:uid="{B7F565BA-FC26-4C71-81BF-341FEC861A5A}" name="Sales_category" dataDxfId="2">
      <calculatedColumnFormula>IF(Table1[[#This Row],[units_sold]]&lt;50,"Very Low",IF(Table1[[#This Row],[units_sold]]&lt;150,"Low",IF(Table1[[#This Row],[units_sold]]&lt;300,"Medium","High")))</calculatedColumnFormula>
    </tableColumn>
    <tableColumn id="13" xr3:uid="{BBE039BB-12F1-45BE-9C25-9FD3B1068915}" name="Demand Vs Stock_flag" dataDxfId="1">
      <calculatedColumnFormula>IF(AND(E2&gt;300,G2=FALSE),"High Demand - Out of Stock","Normal")</calculatedColumnFormula>
    </tableColumn>
    <tableColumn id="14" xr3:uid="{E9C62E13-E049-4647-9884-56181AE9E669}" name="Cost" dataDxfId="0">
      <calculatedColumnFormula>(Table1[[#This Row],[price]]*0.7)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FE2231E-3F6D-4368-81E7-574020B79FDF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9b_f4gmE8p2_SAoMxvutn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3DA10-9036-43C1-8269-FAD80CF03500}">
  <dimension ref="A1:N1001"/>
  <sheetViews>
    <sheetView tabSelected="1" workbookViewId="0">
      <selection activeCell="D1007" sqref="D1007"/>
    </sheetView>
  </sheetViews>
  <sheetFormatPr defaultRowHeight="14.5" x14ac:dyDescent="0.35"/>
  <cols>
    <col min="1" max="1" width="12" customWidth="1"/>
    <col min="2" max="2" width="15.1796875" customWidth="1"/>
    <col min="3" max="3" width="10" customWidth="1"/>
    <col min="5" max="5" width="11.453125" customWidth="1"/>
    <col min="7" max="7" width="9.81640625" customWidth="1"/>
    <col min="8" max="8" width="15.26953125" customWidth="1"/>
    <col min="9" max="9" width="13.54296875" customWidth="1"/>
    <col min="10" max="10" width="16" customWidth="1"/>
    <col min="11" max="11" width="15.36328125" customWidth="1"/>
    <col min="12" max="12" width="15.453125" customWidth="1"/>
  </cols>
  <sheetData>
    <row r="1" spans="1:14" x14ac:dyDescent="0.35">
      <c r="A1" t="s">
        <v>18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</row>
    <row r="2" spans="1:14" x14ac:dyDescent="0.35">
      <c r="A2" t="str">
        <f>"P"&amp;TEXT(ROW()-1,"000")</f>
        <v>P001</v>
      </c>
      <c r="B2" t="s">
        <v>14</v>
      </c>
      <c r="C2" t="s">
        <v>9</v>
      </c>
      <c r="D2">
        <v>391.46</v>
      </c>
      <c r="E2">
        <v>8</v>
      </c>
      <c r="F2">
        <v>4.5</v>
      </c>
      <c r="G2" t="b">
        <v>1</v>
      </c>
      <c r="H2">
        <f>(Table1[[#This Row],[price]]*Table1[[#This Row],[units_sold]])</f>
        <v>3131.68</v>
      </c>
      <c r="I2" t="str">
        <f>IF(Table1[[#This Row],[in_stock]]=TRUE,"Available","Out of stock")</f>
        <v>Available</v>
      </c>
      <c r="J2" t="str">
        <f>IF(Table1[[#This Row],[rating]]&gt;=4,"High",IF(Table1[[#This Row],[rating]]&gt;=2.5,"Medium","Low"))</f>
        <v>High</v>
      </c>
      <c r="K2" t="str">
        <f>IF(Table1[[#This Row],[price]]&lt;200,"Budget",IF(Table1[[#This Row],[price]]&lt;600,"Mid-Range",IF(Table1[[#This Row],[price]]&lt;1000,"Premium","Luxury")))</f>
        <v>Mid-Range</v>
      </c>
      <c r="L2" t="str">
        <f>IF(Table1[[#This Row],[units_sold]]&lt;50,"Very Low",IF(Table1[[#This Row],[units_sold]]&lt;150,"Low",IF(Table1[[#This Row],[units_sold]]&lt;300,"Medium","High")))</f>
        <v>Very Low</v>
      </c>
      <c r="M2" t="str">
        <f>IF(AND(E2&gt;300,G2=FALSE),"High Demand - Out of Stock","Normal")</f>
        <v>Normal</v>
      </c>
      <c r="N2">
        <f>(Table1[[#This Row],[price]]*0.7)</f>
        <v>274.02199999999999</v>
      </c>
    </row>
    <row r="3" spans="1:14" x14ac:dyDescent="0.35">
      <c r="A3" t="str">
        <f t="shared" ref="A3:A65" si="0">"P"&amp;TEXT(ROW()-1,"000")</f>
        <v>P002</v>
      </c>
      <c r="B3" t="s">
        <v>17</v>
      </c>
      <c r="C3" t="s">
        <v>7</v>
      </c>
      <c r="D3">
        <v>1091.8800000000001</v>
      </c>
      <c r="E3">
        <v>333</v>
      </c>
      <c r="F3">
        <v>3</v>
      </c>
      <c r="G3" t="b">
        <v>1</v>
      </c>
      <c r="H3">
        <f>(Table1[[#This Row],[price]]*Table1[[#This Row],[units_sold]])</f>
        <v>363596.04000000004</v>
      </c>
      <c r="I3" t="str">
        <f>IF(Table1[[#This Row],[in_stock]]=TRUE,"Available","Out of stock")</f>
        <v>Available</v>
      </c>
      <c r="J3" t="str">
        <f>IF(Table1[[#This Row],[rating]]&gt;=4,"High",IF(Table1[[#This Row],[rating]]&gt;=2.5,"Medium","Low"))</f>
        <v>Medium</v>
      </c>
      <c r="K3" t="str">
        <f>IF(Table1[[#This Row],[price]]&lt;200,"Budget",IF(Table1[[#This Row],[price]]&lt;600,"Mid-Range",IF(Table1[[#This Row],[price]]&lt;1000,"Premium","Luxury")))</f>
        <v>Luxury</v>
      </c>
      <c r="L3" t="str">
        <f>IF(Table1[[#This Row],[units_sold]]&lt;50,"Very Low",IF(Table1[[#This Row],[units_sold]]&lt;150,"Low",IF(Table1[[#This Row],[units_sold]]&lt;300,"Medium","High")))</f>
        <v>High</v>
      </c>
      <c r="M3" t="str">
        <f t="shared" ref="M3:M65" si="1">IF(AND(E3&gt;300,G3=FALSE),"High Demand - Out of Stock","Normal")</f>
        <v>Normal</v>
      </c>
      <c r="N3">
        <f>(Table1[[#This Row],[price]]*0.7)</f>
        <v>764.31600000000003</v>
      </c>
    </row>
    <row r="4" spans="1:14" x14ac:dyDescent="0.35">
      <c r="A4" t="str">
        <f t="shared" si="0"/>
        <v>P003</v>
      </c>
      <c r="B4" t="s">
        <v>6</v>
      </c>
      <c r="C4" t="s">
        <v>7</v>
      </c>
      <c r="D4">
        <v>893.51</v>
      </c>
      <c r="E4">
        <v>200</v>
      </c>
      <c r="F4">
        <v>3.8</v>
      </c>
      <c r="G4" t="b">
        <v>1</v>
      </c>
      <c r="H4">
        <f>(Table1[[#This Row],[price]]*Table1[[#This Row],[units_sold]])</f>
        <v>178702</v>
      </c>
      <c r="I4" t="str">
        <f>IF(Table1[[#This Row],[in_stock]]=TRUE,"Available","Out of stock")</f>
        <v>Available</v>
      </c>
      <c r="J4" t="str">
        <f>IF(Table1[[#This Row],[rating]]&gt;=4,"High",IF(Table1[[#This Row],[rating]]&gt;=2.5,"Medium","Low"))</f>
        <v>Medium</v>
      </c>
      <c r="K4" t="str">
        <f>IF(Table1[[#This Row],[price]]&lt;200,"Budget",IF(Table1[[#This Row],[price]]&lt;600,"Mid-Range",IF(Table1[[#This Row],[price]]&lt;1000,"Premium","Luxury")))</f>
        <v>Premium</v>
      </c>
      <c r="L4" t="str">
        <f>IF(Table1[[#This Row],[units_sold]]&lt;50,"Very Low",IF(Table1[[#This Row],[units_sold]]&lt;150,"Low",IF(Table1[[#This Row],[units_sold]]&lt;300,"Medium","High")))</f>
        <v>Medium</v>
      </c>
      <c r="M4" t="str">
        <f t="shared" si="1"/>
        <v>Normal</v>
      </c>
      <c r="N4">
        <f>(Table1[[#This Row],[price]]*0.7)</f>
        <v>625.45699999999999</v>
      </c>
    </row>
    <row r="5" spans="1:14" x14ac:dyDescent="0.35">
      <c r="A5" t="str">
        <f t="shared" si="0"/>
        <v>P004</v>
      </c>
      <c r="B5" t="s">
        <v>12</v>
      </c>
      <c r="C5" t="s">
        <v>7</v>
      </c>
      <c r="D5">
        <v>162.30000000000001</v>
      </c>
      <c r="E5">
        <v>87</v>
      </c>
      <c r="F5">
        <v>5</v>
      </c>
      <c r="G5" t="b">
        <v>1</v>
      </c>
      <c r="H5">
        <f>(Table1[[#This Row],[price]]*Table1[[#This Row],[units_sold]])</f>
        <v>14120.1</v>
      </c>
      <c r="I5" t="str">
        <f>IF(Table1[[#This Row],[in_stock]]=TRUE,"Available","Out of stock")</f>
        <v>Available</v>
      </c>
      <c r="J5" t="str">
        <f>IF(Table1[[#This Row],[rating]]&gt;=4,"High",IF(Table1[[#This Row],[rating]]&gt;=2.5,"Medium","Low"))</f>
        <v>High</v>
      </c>
      <c r="K5" t="str">
        <f>IF(Table1[[#This Row],[price]]&lt;200,"Budget",IF(Table1[[#This Row],[price]]&lt;600,"Mid-Range",IF(Table1[[#This Row],[price]]&lt;1000,"Premium","Luxury")))</f>
        <v>Budget</v>
      </c>
      <c r="L5" t="str">
        <f>IF(Table1[[#This Row],[units_sold]]&lt;50,"Very Low",IF(Table1[[#This Row],[units_sold]]&lt;150,"Low",IF(Table1[[#This Row],[units_sold]]&lt;300,"Medium","High")))</f>
        <v>Low</v>
      </c>
      <c r="M5" t="str">
        <f t="shared" si="1"/>
        <v>Normal</v>
      </c>
      <c r="N5">
        <f>(Table1[[#This Row],[price]]*0.7)</f>
        <v>113.61</v>
      </c>
    </row>
    <row r="6" spans="1:14" x14ac:dyDescent="0.35">
      <c r="A6" t="str">
        <f t="shared" si="0"/>
        <v>P005</v>
      </c>
      <c r="B6" t="s">
        <v>14</v>
      </c>
      <c r="C6" t="s">
        <v>9</v>
      </c>
      <c r="D6">
        <v>1378.94</v>
      </c>
      <c r="E6">
        <v>43</v>
      </c>
      <c r="F6">
        <v>1.5</v>
      </c>
      <c r="G6" t="b">
        <v>1</v>
      </c>
      <c r="H6">
        <f>(Table1[[#This Row],[price]]*Table1[[#This Row],[units_sold]])</f>
        <v>59294.420000000006</v>
      </c>
      <c r="I6" t="str">
        <f>IF(Table1[[#This Row],[in_stock]]=TRUE,"Available","Out of stock")</f>
        <v>Available</v>
      </c>
      <c r="J6" t="str">
        <f>IF(Table1[[#This Row],[rating]]&gt;=4,"High",IF(Table1[[#This Row],[rating]]&gt;=2.5,"Medium","Low"))</f>
        <v>Low</v>
      </c>
      <c r="K6" t="str">
        <f>IF(Table1[[#This Row],[price]]&lt;200,"Budget",IF(Table1[[#This Row],[price]]&lt;600,"Mid-Range",IF(Table1[[#This Row],[price]]&lt;1000,"Premium","Luxury")))</f>
        <v>Luxury</v>
      </c>
      <c r="L6" t="str">
        <f>IF(Table1[[#This Row],[units_sold]]&lt;50,"Very Low",IF(Table1[[#This Row],[units_sold]]&lt;150,"Low",IF(Table1[[#This Row],[units_sold]]&lt;300,"Medium","High")))</f>
        <v>Very Low</v>
      </c>
      <c r="M6" t="str">
        <f t="shared" si="1"/>
        <v>Normal</v>
      </c>
      <c r="N6">
        <f>(Table1[[#This Row],[price]]*0.7)</f>
        <v>965.25799999999992</v>
      </c>
    </row>
    <row r="7" spans="1:14" x14ac:dyDescent="0.35">
      <c r="A7" t="str">
        <f t="shared" si="0"/>
        <v>P006</v>
      </c>
      <c r="B7" t="s">
        <v>10</v>
      </c>
      <c r="C7" t="s">
        <v>9</v>
      </c>
      <c r="D7">
        <v>1187.23</v>
      </c>
      <c r="E7">
        <v>385</v>
      </c>
      <c r="F7">
        <v>2.1</v>
      </c>
      <c r="G7" t="b">
        <v>1</v>
      </c>
      <c r="H7">
        <f>(Table1[[#This Row],[price]]*Table1[[#This Row],[units_sold]])</f>
        <v>457083.55</v>
      </c>
      <c r="I7" t="str">
        <f>IF(Table1[[#This Row],[in_stock]]=TRUE,"Available","Out of stock")</f>
        <v>Available</v>
      </c>
      <c r="J7" t="str">
        <f>IF(Table1[[#This Row],[rating]]&gt;=4,"High",IF(Table1[[#This Row],[rating]]&gt;=2.5,"Medium","Low"))</f>
        <v>Low</v>
      </c>
      <c r="K7" t="str">
        <f>IF(Table1[[#This Row],[price]]&lt;200,"Budget",IF(Table1[[#This Row],[price]]&lt;600,"Mid-Range",IF(Table1[[#This Row],[price]]&lt;1000,"Premium","Luxury")))</f>
        <v>Luxury</v>
      </c>
      <c r="L7" t="str">
        <f>IF(Table1[[#This Row],[units_sold]]&lt;50,"Very Low",IF(Table1[[#This Row],[units_sold]]&lt;150,"Low",IF(Table1[[#This Row],[units_sold]]&lt;300,"Medium","High")))</f>
        <v>High</v>
      </c>
      <c r="M7" t="str">
        <f t="shared" si="1"/>
        <v>Normal</v>
      </c>
      <c r="N7">
        <f>(Table1[[#This Row],[price]]*0.7)</f>
        <v>831.06099999999992</v>
      </c>
    </row>
    <row r="8" spans="1:14" x14ac:dyDescent="0.35">
      <c r="A8" t="str">
        <f t="shared" si="0"/>
        <v>P007</v>
      </c>
      <c r="B8" t="s">
        <v>13</v>
      </c>
      <c r="C8" t="s">
        <v>9</v>
      </c>
      <c r="D8">
        <v>44.3</v>
      </c>
      <c r="E8">
        <v>109</v>
      </c>
      <c r="F8">
        <v>2.6</v>
      </c>
      <c r="G8" t="b">
        <v>1</v>
      </c>
      <c r="H8">
        <f>(Table1[[#This Row],[price]]*Table1[[#This Row],[units_sold]])</f>
        <v>4828.7</v>
      </c>
      <c r="I8" t="str">
        <f>IF(Table1[[#This Row],[in_stock]]=TRUE,"Available","Out of stock")</f>
        <v>Available</v>
      </c>
      <c r="J8" t="str">
        <f>IF(Table1[[#This Row],[rating]]&gt;=4,"High",IF(Table1[[#This Row],[rating]]&gt;=2.5,"Medium","Low"))</f>
        <v>Medium</v>
      </c>
      <c r="K8" t="str">
        <f>IF(Table1[[#This Row],[price]]&lt;200,"Budget",IF(Table1[[#This Row],[price]]&lt;600,"Mid-Range",IF(Table1[[#This Row],[price]]&lt;1000,"Premium","Luxury")))</f>
        <v>Budget</v>
      </c>
      <c r="L8" t="str">
        <f>IF(Table1[[#This Row],[units_sold]]&lt;50,"Very Low",IF(Table1[[#This Row],[units_sold]]&lt;150,"Low",IF(Table1[[#This Row],[units_sold]]&lt;300,"Medium","High")))</f>
        <v>Low</v>
      </c>
      <c r="M8" t="str">
        <f t="shared" si="1"/>
        <v>Normal</v>
      </c>
      <c r="N8">
        <f>(Table1[[#This Row],[price]]*0.7)</f>
        <v>31.009999999999994</v>
      </c>
    </row>
    <row r="9" spans="1:14" x14ac:dyDescent="0.35">
      <c r="A9" t="str">
        <f t="shared" si="0"/>
        <v>P008</v>
      </c>
      <c r="B9" t="s">
        <v>14</v>
      </c>
      <c r="C9" t="s">
        <v>9</v>
      </c>
      <c r="D9">
        <v>980.54</v>
      </c>
      <c r="E9">
        <v>435</v>
      </c>
      <c r="F9">
        <v>2.7</v>
      </c>
      <c r="G9" t="b">
        <v>0</v>
      </c>
      <c r="H9">
        <f>(Table1[[#This Row],[price]]*Table1[[#This Row],[units_sold]])</f>
        <v>426534.89999999997</v>
      </c>
      <c r="I9" t="str">
        <f>IF(Table1[[#This Row],[in_stock]]=TRUE,"Available","Out of stock")</f>
        <v>Out of stock</v>
      </c>
      <c r="J9" t="str">
        <f>IF(Table1[[#This Row],[rating]]&gt;=4,"High",IF(Table1[[#This Row],[rating]]&gt;=2.5,"Medium","Low"))</f>
        <v>Medium</v>
      </c>
      <c r="K9" t="str">
        <f>IF(Table1[[#This Row],[price]]&lt;200,"Budget",IF(Table1[[#This Row],[price]]&lt;600,"Mid-Range",IF(Table1[[#This Row],[price]]&lt;1000,"Premium","Luxury")))</f>
        <v>Premium</v>
      </c>
      <c r="L9" t="str">
        <f>IF(Table1[[#This Row],[units_sold]]&lt;50,"Very Low",IF(Table1[[#This Row],[units_sold]]&lt;150,"Low",IF(Table1[[#This Row],[units_sold]]&lt;300,"Medium","High")))</f>
        <v>High</v>
      </c>
      <c r="M9" t="str">
        <f t="shared" si="1"/>
        <v>High Demand - Out of Stock</v>
      </c>
      <c r="N9">
        <f>(Table1[[#This Row],[price]]*0.7)</f>
        <v>686.37799999999993</v>
      </c>
    </row>
    <row r="10" spans="1:14" x14ac:dyDescent="0.35">
      <c r="A10" t="str">
        <f t="shared" si="0"/>
        <v>P009</v>
      </c>
      <c r="B10" t="s">
        <v>6</v>
      </c>
      <c r="C10" t="s">
        <v>7</v>
      </c>
      <c r="D10">
        <v>1159.1600000000001</v>
      </c>
      <c r="E10">
        <v>408</v>
      </c>
      <c r="F10">
        <v>2.6</v>
      </c>
      <c r="G10" t="b">
        <v>1</v>
      </c>
      <c r="H10">
        <f>(Table1[[#This Row],[price]]*Table1[[#This Row],[units_sold]])</f>
        <v>472937.28</v>
      </c>
      <c r="I10" t="str">
        <f>IF(Table1[[#This Row],[in_stock]]=TRUE,"Available","Out of stock")</f>
        <v>Available</v>
      </c>
      <c r="J10" t="str">
        <f>IF(Table1[[#This Row],[rating]]&gt;=4,"High",IF(Table1[[#This Row],[rating]]&gt;=2.5,"Medium","Low"))</f>
        <v>Medium</v>
      </c>
      <c r="K10" t="str">
        <f>IF(Table1[[#This Row],[price]]&lt;200,"Budget",IF(Table1[[#This Row],[price]]&lt;600,"Mid-Range",IF(Table1[[#This Row],[price]]&lt;1000,"Premium","Luxury")))</f>
        <v>Luxury</v>
      </c>
      <c r="L10" t="str">
        <f>IF(Table1[[#This Row],[units_sold]]&lt;50,"Very Low",IF(Table1[[#This Row],[units_sold]]&lt;150,"Low",IF(Table1[[#This Row],[units_sold]]&lt;300,"Medium","High")))</f>
        <v>High</v>
      </c>
      <c r="M10" t="str">
        <f t="shared" si="1"/>
        <v>Normal</v>
      </c>
      <c r="N10">
        <f>(Table1[[#This Row],[price]]*0.7)</f>
        <v>811.41200000000003</v>
      </c>
    </row>
    <row r="11" spans="1:14" x14ac:dyDescent="0.35">
      <c r="A11" t="str">
        <f t="shared" si="0"/>
        <v>P010</v>
      </c>
      <c r="B11" t="s">
        <v>12</v>
      </c>
      <c r="C11" t="s">
        <v>7</v>
      </c>
      <c r="D11">
        <v>567.91</v>
      </c>
      <c r="E11">
        <v>483</v>
      </c>
      <c r="F11">
        <v>4.5999999999999996</v>
      </c>
      <c r="G11" t="b">
        <v>1</v>
      </c>
      <c r="H11">
        <f>(Table1[[#This Row],[price]]*Table1[[#This Row],[units_sold]])</f>
        <v>274300.52999999997</v>
      </c>
      <c r="I11" t="str">
        <f>IF(Table1[[#This Row],[in_stock]]=TRUE,"Available","Out of stock")</f>
        <v>Available</v>
      </c>
      <c r="J11" t="str">
        <f>IF(Table1[[#This Row],[rating]]&gt;=4,"High",IF(Table1[[#This Row],[rating]]&gt;=2.5,"Medium","Low"))</f>
        <v>High</v>
      </c>
      <c r="K11" t="str">
        <f>IF(Table1[[#This Row],[price]]&lt;200,"Budget",IF(Table1[[#This Row],[price]]&lt;600,"Mid-Range",IF(Table1[[#This Row],[price]]&lt;1000,"Premium","Luxury")))</f>
        <v>Mid-Range</v>
      </c>
      <c r="L11" t="str">
        <f>IF(Table1[[#This Row],[units_sold]]&lt;50,"Very Low",IF(Table1[[#This Row],[units_sold]]&lt;150,"Low",IF(Table1[[#This Row],[units_sold]]&lt;300,"Medium","High")))</f>
        <v>High</v>
      </c>
      <c r="M11" t="str">
        <f t="shared" si="1"/>
        <v>Normal</v>
      </c>
      <c r="N11">
        <f>(Table1[[#This Row],[price]]*0.7)</f>
        <v>397.53699999999998</v>
      </c>
    </row>
    <row r="12" spans="1:14" x14ac:dyDescent="0.35">
      <c r="A12" t="str">
        <f t="shared" si="0"/>
        <v>P011</v>
      </c>
      <c r="B12" t="s">
        <v>17</v>
      </c>
      <c r="C12" t="s">
        <v>7</v>
      </c>
      <c r="D12">
        <v>112.69</v>
      </c>
      <c r="E12">
        <v>152</v>
      </c>
      <c r="F12">
        <v>3.9</v>
      </c>
      <c r="G12" t="b">
        <v>1</v>
      </c>
      <c r="H12">
        <f>(Table1[[#This Row],[price]]*Table1[[#This Row],[units_sold]])</f>
        <v>17128.88</v>
      </c>
      <c r="I12" t="str">
        <f>IF(Table1[[#This Row],[in_stock]]=TRUE,"Available","Out of stock")</f>
        <v>Available</v>
      </c>
      <c r="J12" t="str">
        <f>IF(Table1[[#This Row],[rating]]&gt;=4,"High",IF(Table1[[#This Row],[rating]]&gt;=2.5,"Medium","Low"))</f>
        <v>Medium</v>
      </c>
      <c r="K12" t="str">
        <f>IF(Table1[[#This Row],[price]]&lt;200,"Budget",IF(Table1[[#This Row],[price]]&lt;600,"Mid-Range",IF(Table1[[#This Row],[price]]&lt;1000,"Premium","Luxury")))</f>
        <v>Budget</v>
      </c>
      <c r="L12" t="str">
        <f>IF(Table1[[#This Row],[units_sold]]&lt;50,"Very Low",IF(Table1[[#This Row],[units_sold]]&lt;150,"Low",IF(Table1[[#This Row],[units_sold]]&lt;300,"Medium","High")))</f>
        <v>Medium</v>
      </c>
      <c r="M12" t="str">
        <f t="shared" si="1"/>
        <v>Normal</v>
      </c>
      <c r="N12">
        <f>(Table1[[#This Row],[price]]*0.7)</f>
        <v>78.882999999999996</v>
      </c>
    </row>
    <row r="13" spans="1:14" x14ac:dyDescent="0.35">
      <c r="A13" t="str">
        <f t="shared" si="0"/>
        <v>P012</v>
      </c>
      <c r="B13" t="s">
        <v>6</v>
      </c>
      <c r="C13" t="s">
        <v>7</v>
      </c>
      <c r="D13">
        <v>125.21</v>
      </c>
      <c r="E13">
        <v>17</v>
      </c>
      <c r="F13">
        <v>3.4</v>
      </c>
      <c r="G13" t="b">
        <v>1</v>
      </c>
      <c r="H13">
        <f>(Table1[[#This Row],[price]]*Table1[[#This Row],[units_sold]])</f>
        <v>2128.5699999999997</v>
      </c>
      <c r="I13" t="str">
        <f>IF(Table1[[#This Row],[in_stock]]=TRUE,"Available","Out of stock")</f>
        <v>Available</v>
      </c>
      <c r="J13" t="str">
        <f>IF(Table1[[#This Row],[rating]]&gt;=4,"High",IF(Table1[[#This Row],[rating]]&gt;=2.5,"Medium","Low"))</f>
        <v>Medium</v>
      </c>
      <c r="K13" t="str">
        <f>IF(Table1[[#This Row],[price]]&lt;200,"Budget",IF(Table1[[#This Row],[price]]&lt;600,"Mid-Range",IF(Table1[[#This Row],[price]]&lt;1000,"Premium","Luxury")))</f>
        <v>Budget</v>
      </c>
      <c r="L13" t="str">
        <f>IF(Table1[[#This Row],[units_sold]]&lt;50,"Very Low",IF(Table1[[#This Row],[units_sold]]&lt;150,"Low",IF(Table1[[#This Row],[units_sold]]&lt;300,"Medium","High")))</f>
        <v>Very Low</v>
      </c>
      <c r="M13" t="str">
        <f t="shared" si="1"/>
        <v>Normal</v>
      </c>
      <c r="N13">
        <f>(Table1[[#This Row],[price]]*0.7)</f>
        <v>87.646999999999991</v>
      </c>
    </row>
    <row r="14" spans="1:14" x14ac:dyDescent="0.35">
      <c r="A14" t="str">
        <f t="shared" si="0"/>
        <v>P013</v>
      </c>
      <c r="B14" t="s">
        <v>6</v>
      </c>
      <c r="C14" t="s">
        <v>7</v>
      </c>
      <c r="D14">
        <v>165.33</v>
      </c>
      <c r="E14">
        <v>133</v>
      </c>
      <c r="F14">
        <v>2.2000000000000002</v>
      </c>
      <c r="G14" t="b">
        <v>1</v>
      </c>
      <c r="H14">
        <f>(Table1[[#This Row],[price]]*Table1[[#This Row],[units_sold]])</f>
        <v>21988.890000000003</v>
      </c>
      <c r="I14" t="str">
        <f>IF(Table1[[#This Row],[in_stock]]=TRUE,"Available","Out of stock")</f>
        <v>Available</v>
      </c>
      <c r="J14" t="str">
        <f>IF(Table1[[#This Row],[rating]]&gt;=4,"High",IF(Table1[[#This Row],[rating]]&gt;=2.5,"Medium","Low"))</f>
        <v>Low</v>
      </c>
      <c r="K14" t="str">
        <f>IF(Table1[[#This Row],[price]]&lt;200,"Budget",IF(Table1[[#This Row],[price]]&lt;600,"Mid-Range",IF(Table1[[#This Row],[price]]&lt;1000,"Premium","Luxury")))</f>
        <v>Budget</v>
      </c>
      <c r="L14" t="str">
        <f>IF(Table1[[#This Row],[units_sold]]&lt;50,"Very Low",IF(Table1[[#This Row],[units_sold]]&lt;150,"Low",IF(Table1[[#This Row],[units_sold]]&lt;300,"Medium","High")))</f>
        <v>Low</v>
      </c>
      <c r="M14" t="str">
        <f t="shared" si="1"/>
        <v>Normal</v>
      </c>
      <c r="N14">
        <f>(Table1[[#This Row],[price]]*0.7)</f>
        <v>115.73099999999999</v>
      </c>
    </row>
    <row r="15" spans="1:14" x14ac:dyDescent="0.35">
      <c r="A15" t="str">
        <f t="shared" si="0"/>
        <v>P014</v>
      </c>
      <c r="B15" t="s">
        <v>13</v>
      </c>
      <c r="C15" t="s">
        <v>9</v>
      </c>
      <c r="D15">
        <v>1262.26</v>
      </c>
      <c r="E15">
        <v>148</v>
      </c>
      <c r="F15">
        <v>4.3</v>
      </c>
      <c r="G15" t="b">
        <v>1</v>
      </c>
      <c r="H15">
        <f>(Table1[[#This Row],[price]]*Table1[[#This Row],[units_sold]])</f>
        <v>186814.48</v>
      </c>
      <c r="I15" t="str">
        <f>IF(Table1[[#This Row],[in_stock]]=TRUE,"Available","Out of stock")</f>
        <v>Available</v>
      </c>
      <c r="J15" t="str">
        <f>IF(Table1[[#This Row],[rating]]&gt;=4,"High",IF(Table1[[#This Row],[rating]]&gt;=2.5,"Medium","Low"))</f>
        <v>High</v>
      </c>
      <c r="K15" t="str">
        <f>IF(Table1[[#This Row],[price]]&lt;200,"Budget",IF(Table1[[#This Row],[price]]&lt;600,"Mid-Range",IF(Table1[[#This Row],[price]]&lt;1000,"Premium","Luxury")))</f>
        <v>Luxury</v>
      </c>
      <c r="L15" t="str">
        <f>IF(Table1[[#This Row],[units_sold]]&lt;50,"Very Low",IF(Table1[[#This Row],[units_sold]]&lt;150,"Low",IF(Table1[[#This Row],[units_sold]]&lt;300,"Medium","High")))</f>
        <v>Low</v>
      </c>
      <c r="M15" t="str">
        <f t="shared" si="1"/>
        <v>Normal</v>
      </c>
      <c r="N15">
        <f>(Table1[[#This Row],[price]]*0.7)</f>
        <v>883.58199999999999</v>
      </c>
    </row>
    <row r="16" spans="1:14" x14ac:dyDescent="0.35">
      <c r="A16" t="str">
        <f t="shared" si="0"/>
        <v>P015</v>
      </c>
      <c r="B16" t="s">
        <v>15</v>
      </c>
      <c r="C16" t="s">
        <v>7</v>
      </c>
      <c r="D16">
        <v>1366.92</v>
      </c>
      <c r="E16">
        <v>277</v>
      </c>
      <c r="F16">
        <v>4.8</v>
      </c>
      <c r="G16" t="b">
        <v>1</v>
      </c>
      <c r="H16">
        <f>(Table1[[#This Row],[price]]*Table1[[#This Row],[units_sold]])</f>
        <v>378636.84</v>
      </c>
      <c r="I16" t="str">
        <f>IF(Table1[[#This Row],[in_stock]]=TRUE,"Available","Out of stock")</f>
        <v>Available</v>
      </c>
      <c r="J16" t="str">
        <f>IF(Table1[[#This Row],[rating]]&gt;=4,"High",IF(Table1[[#This Row],[rating]]&gt;=2.5,"Medium","Low"))</f>
        <v>High</v>
      </c>
      <c r="K16" t="str">
        <f>IF(Table1[[#This Row],[price]]&lt;200,"Budget",IF(Table1[[#This Row],[price]]&lt;600,"Mid-Range",IF(Table1[[#This Row],[price]]&lt;1000,"Premium","Luxury")))</f>
        <v>Luxury</v>
      </c>
      <c r="L16" t="str">
        <f>IF(Table1[[#This Row],[units_sold]]&lt;50,"Very Low",IF(Table1[[#This Row],[units_sold]]&lt;150,"Low",IF(Table1[[#This Row],[units_sold]]&lt;300,"Medium","High")))</f>
        <v>Medium</v>
      </c>
      <c r="M16" t="str">
        <f t="shared" si="1"/>
        <v>Normal</v>
      </c>
      <c r="N16">
        <f>(Table1[[#This Row],[price]]*0.7)</f>
        <v>956.84399999999994</v>
      </c>
    </row>
    <row r="17" spans="1:14" x14ac:dyDescent="0.35">
      <c r="A17" t="str">
        <f t="shared" si="0"/>
        <v>P016</v>
      </c>
      <c r="B17" t="s">
        <v>12</v>
      </c>
      <c r="C17" t="s">
        <v>7</v>
      </c>
      <c r="D17">
        <v>192.99</v>
      </c>
      <c r="E17">
        <v>232</v>
      </c>
      <c r="F17">
        <v>4.3</v>
      </c>
      <c r="G17" t="b">
        <v>0</v>
      </c>
      <c r="H17">
        <f>(Table1[[#This Row],[price]]*Table1[[#This Row],[units_sold]])</f>
        <v>44773.68</v>
      </c>
      <c r="I17" t="str">
        <f>IF(Table1[[#This Row],[in_stock]]=TRUE,"Available","Out of stock")</f>
        <v>Out of stock</v>
      </c>
      <c r="J17" t="str">
        <f>IF(Table1[[#This Row],[rating]]&gt;=4,"High",IF(Table1[[#This Row],[rating]]&gt;=2.5,"Medium","Low"))</f>
        <v>High</v>
      </c>
      <c r="K17" t="str">
        <f>IF(Table1[[#This Row],[price]]&lt;200,"Budget",IF(Table1[[#This Row],[price]]&lt;600,"Mid-Range",IF(Table1[[#This Row],[price]]&lt;1000,"Premium","Luxury")))</f>
        <v>Budget</v>
      </c>
      <c r="L17" t="str">
        <f>IF(Table1[[#This Row],[units_sold]]&lt;50,"Very Low",IF(Table1[[#This Row],[units_sold]]&lt;150,"Low",IF(Table1[[#This Row],[units_sold]]&lt;300,"Medium","High")))</f>
        <v>Medium</v>
      </c>
      <c r="M17" t="str">
        <f t="shared" si="1"/>
        <v>Normal</v>
      </c>
      <c r="N17">
        <f>(Table1[[#This Row],[price]]*0.7)</f>
        <v>135.09299999999999</v>
      </c>
    </row>
    <row r="18" spans="1:14" x14ac:dyDescent="0.35">
      <c r="A18" t="str">
        <f t="shared" si="0"/>
        <v>P017</v>
      </c>
      <c r="B18" t="s">
        <v>11</v>
      </c>
      <c r="C18" t="s">
        <v>9</v>
      </c>
      <c r="D18">
        <v>361.5</v>
      </c>
      <c r="E18">
        <v>314</v>
      </c>
      <c r="F18">
        <v>1</v>
      </c>
      <c r="G18" t="b">
        <v>1</v>
      </c>
      <c r="H18">
        <f>(Table1[[#This Row],[price]]*Table1[[#This Row],[units_sold]])</f>
        <v>113511</v>
      </c>
      <c r="I18" t="str">
        <f>IF(Table1[[#This Row],[in_stock]]=TRUE,"Available","Out of stock")</f>
        <v>Available</v>
      </c>
      <c r="J18" t="str">
        <f>IF(Table1[[#This Row],[rating]]&gt;=4,"High",IF(Table1[[#This Row],[rating]]&gt;=2.5,"Medium","Low"))</f>
        <v>Low</v>
      </c>
      <c r="K18" t="str">
        <f>IF(Table1[[#This Row],[price]]&lt;200,"Budget",IF(Table1[[#This Row],[price]]&lt;600,"Mid-Range",IF(Table1[[#This Row],[price]]&lt;1000,"Premium","Luxury")))</f>
        <v>Mid-Range</v>
      </c>
      <c r="L18" t="str">
        <f>IF(Table1[[#This Row],[units_sold]]&lt;50,"Very Low",IF(Table1[[#This Row],[units_sold]]&lt;150,"Low",IF(Table1[[#This Row],[units_sold]]&lt;300,"Medium","High")))</f>
        <v>High</v>
      </c>
      <c r="M18" t="str">
        <f t="shared" si="1"/>
        <v>Normal</v>
      </c>
      <c r="N18">
        <f>(Table1[[#This Row],[price]]*0.7)</f>
        <v>253.04999999999998</v>
      </c>
    </row>
    <row r="19" spans="1:14" x14ac:dyDescent="0.35">
      <c r="A19" t="str">
        <f t="shared" si="0"/>
        <v>P018</v>
      </c>
      <c r="B19" t="s">
        <v>6</v>
      </c>
      <c r="C19" t="s">
        <v>7</v>
      </c>
      <c r="D19">
        <v>256.63</v>
      </c>
      <c r="E19">
        <v>415</v>
      </c>
      <c r="F19">
        <v>3.5</v>
      </c>
      <c r="G19" t="b">
        <v>1</v>
      </c>
      <c r="H19">
        <f>(Table1[[#This Row],[price]]*Table1[[#This Row],[units_sold]])</f>
        <v>106501.45</v>
      </c>
      <c r="I19" t="str">
        <f>IF(Table1[[#This Row],[in_stock]]=TRUE,"Available","Out of stock")</f>
        <v>Available</v>
      </c>
      <c r="J19" t="str">
        <f>IF(Table1[[#This Row],[rating]]&gt;=4,"High",IF(Table1[[#This Row],[rating]]&gt;=2.5,"Medium","Low"))</f>
        <v>Medium</v>
      </c>
      <c r="K19" t="str">
        <f>IF(Table1[[#This Row],[price]]&lt;200,"Budget",IF(Table1[[#This Row],[price]]&lt;600,"Mid-Range",IF(Table1[[#This Row],[price]]&lt;1000,"Premium","Luxury")))</f>
        <v>Mid-Range</v>
      </c>
      <c r="L19" t="str">
        <f>IF(Table1[[#This Row],[units_sold]]&lt;50,"Very Low",IF(Table1[[#This Row],[units_sold]]&lt;150,"Low",IF(Table1[[#This Row],[units_sold]]&lt;300,"Medium","High")))</f>
        <v>High</v>
      </c>
      <c r="M19" t="str">
        <f t="shared" si="1"/>
        <v>Normal</v>
      </c>
      <c r="N19">
        <f>(Table1[[#This Row],[price]]*0.7)</f>
        <v>179.64099999999999</v>
      </c>
    </row>
    <row r="20" spans="1:14" x14ac:dyDescent="0.35">
      <c r="A20" t="str">
        <f t="shared" si="0"/>
        <v>P019</v>
      </c>
      <c r="B20" t="s">
        <v>15</v>
      </c>
      <c r="C20" t="s">
        <v>7</v>
      </c>
      <c r="D20">
        <v>287.62</v>
      </c>
      <c r="E20">
        <v>366</v>
      </c>
      <c r="F20">
        <v>1.2</v>
      </c>
      <c r="G20" t="b">
        <v>1</v>
      </c>
      <c r="H20">
        <f>(Table1[[#This Row],[price]]*Table1[[#This Row],[units_sold]])</f>
        <v>105268.92</v>
      </c>
      <c r="I20" t="str">
        <f>IF(Table1[[#This Row],[in_stock]]=TRUE,"Available","Out of stock")</f>
        <v>Available</v>
      </c>
      <c r="J20" t="str">
        <f>IF(Table1[[#This Row],[rating]]&gt;=4,"High",IF(Table1[[#This Row],[rating]]&gt;=2.5,"Medium","Low"))</f>
        <v>Low</v>
      </c>
      <c r="K20" t="str">
        <f>IF(Table1[[#This Row],[price]]&lt;200,"Budget",IF(Table1[[#This Row],[price]]&lt;600,"Mid-Range",IF(Table1[[#This Row],[price]]&lt;1000,"Premium","Luxury")))</f>
        <v>Mid-Range</v>
      </c>
      <c r="L20" t="str">
        <f>IF(Table1[[#This Row],[units_sold]]&lt;50,"Very Low",IF(Table1[[#This Row],[units_sold]]&lt;150,"Low",IF(Table1[[#This Row],[units_sold]]&lt;300,"Medium","High")))</f>
        <v>High</v>
      </c>
      <c r="M20" t="str">
        <f t="shared" si="1"/>
        <v>Normal</v>
      </c>
      <c r="N20">
        <f>(Table1[[#This Row],[price]]*0.7)</f>
        <v>201.334</v>
      </c>
    </row>
    <row r="21" spans="1:14" x14ac:dyDescent="0.35">
      <c r="A21" t="str">
        <f t="shared" si="0"/>
        <v>P020</v>
      </c>
      <c r="B21" t="s">
        <v>11</v>
      </c>
      <c r="C21" t="s">
        <v>9</v>
      </c>
      <c r="D21">
        <v>1257.8599999999999</v>
      </c>
      <c r="E21">
        <v>228</v>
      </c>
      <c r="F21">
        <v>2</v>
      </c>
      <c r="G21" t="b">
        <v>1</v>
      </c>
      <c r="H21">
        <f>(Table1[[#This Row],[price]]*Table1[[#This Row],[units_sold]])</f>
        <v>286792.07999999996</v>
      </c>
      <c r="I21" t="str">
        <f>IF(Table1[[#This Row],[in_stock]]=TRUE,"Available","Out of stock")</f>
        <v>Available</v>
      </c>
      <c r="J21" t="str">
        <f>IF(Table1[[#This Row],[rating]]&gt;=4,"High",IF(Table1[[#This Row],[rating]]&gt;=2.5,"Medium","Low"))</f>
        <v>Low</v>
      </c>
      <c r="K21" t="str">
        <f>IF(Table1[[#This Row],[price]]&lt;200,"Budget",IF(Table1[[#This Row],[price]]&lt;600,"Mid-Range",IF(Table1[[#This Row],[price]]&lt;1000,"Premium","Luxury")))</f>
        <v>Luxury</v>
      </c>
      <c r="L21" t="str">
        <f>IF(Table1[[#This Row],[units_sold]]&lt;50,"Very Low",IF(Table1[[#This Row],[units_sold]]&lt;150,"Low",IF(Table1[[#This Row],[units_sold]]&lt;300,"Medium","High")))</f>
        <v>Medium</v>
      </c>
      <c r="M21" t="str">
        <f t="shared" si="1"/>
        <v>Normal</v>
      </c>
      <c r="N21">
        <f>(Table1[[#This Row],[price]]*0.7)</f>
        <v>880.50199999999984</v>
      </c>
    </row>
    <row r="22" spans="1:14" x14ac:dyDescent="0.35">
      <c r="A22" t="str">
        <f t="shared" si="0"/>
        <v>P021</v>
      </c>
      <c r="B22" t="s">
        <v>12</v>
      </c>
      <c r="C22" t="s">
        <v>7</v>
      </c>
      <c r="D22">
        <v>504.9</v>
      </c>
      <c r="E22">
        <v>139</v>
      </c>
      <c r="F22">
        <v>1.2</v>
      </c>
      <c r="G22" t="b">
        <v>1</v>
      </c>
      <c r="H22">
        <f>(Table1[[#This Row],[price]]*Table1[[#This Row],[units_sold]])</f>
        <v>70181.099999999991</v>
      </c>
      <c r="I22" t="str">
        <f>IF(Table1[[#This Row],[in_stock]]=TRUE,"Available","Out of stock")</f>
        <v>Available</v>
      </c>
      <c r="J22" t="str">
        <f>IF(Table1[[#This Row],[rating]]&gt;=4,"High",IF(Table1[[#This Row],[rating]]&gt;=2.5,"Medium","Low"))</f>
        <v>Low</v>
      </c>
      <c r="K22" t="str">
        <f>IF(Table1[[#This Row],[price]]&lt;200,"Budget",IF(Table1[[#This Row],[price]]&lt;600,"Mid-Range",IF(Table1[[#This Row],[price]]&lt;1000,"Premium","Luxury")))</f>
        <v>Mid-Range</v>
      </c>
      <c r="L22" t="str">
        <f>IF(Table1[[#This Row],[units_sold]]&lt;50,"Very Low",IF(Table1[[#This Row],[units_sold]]&lt;150,"Low",IF(Table1[[#This Row],[units_sold]]&lt;300,"Medium","High")))</f>
        <v>Low</v>
      </c>
      <c r="M22" t="str">
        <f t="shared" si="1"/>
        <v>Normal</v>
      </c>
      <c r="N22">
        <f>(Table1[[#This Row],[price]]*0.7)</f>
        <v>353.42999999999995</v>
      </c>
    </row>
    <row r="23" spans="1:14" x14ac:dyDescent="0.35">
      <c r="A23" t="str">
        <f t="shared" si="0"/>
        <v>P022</v>
      </c>
      <c r="B23" t="s">
        <v>16</v>
      </c>
      <c r="C23" t="s">
        <v>9</v>
      </c>
      <c r="D23">
        <v>474.05</v>
      </c>
      <c r="E23">
        <v>436</v>
      </c>
      <c r="F23">
        <v>3.4</v>
      </c>
      <c r="G23" t="b">
        <v>1</v>
      </c>
      <c r="H23">
        <f>(Table1[[#This Row],[price]]*Table1[[#This Row],[units_sold]])</f>
        <v>206685.80000000002</v>
      </c>
      <c r="I23" t="str">
        <f>IF(Table1[[#This Row],[in_stock]]=TRUE,"Available","Out of stock")</f>
        <v>Available</v>
      </c>
      <c r="J23" t="str">
        <f>IF(Table1[[#This Row],[rating]]&gt;=4,"High",IF(Table1[[#This Row],[rating]]&gt;=2.5,"Medium","Low"))</f>
        <v>Medium</v>
      </c>
      <c r="K23" t="str">
        <f>IF(Table1[[#This Row],[price]]&lt;200,"Budget",IF(Table1[[#This Row],[price]]&lt;600,"Mid-Range",IF(Table1[[#This Row],[price]]&lt;1000,"Premium","Luxury")))</f>
        <v>Mid-Range</v>
      </c>
      <c r="L23" t="str">
        <f>IF(Table1[[#This Row],[units_sold]]&lt;50,"Very Low",IF(Table1[[#This Row],[units_sold]]&lt;150,"Low",IF(Table1[[#This Row],[units_sold]]&lt;300,"Medium","High")))</f>
        <v>High</v>
      </c>
      <c r="M23" t="str">
        <f t="shared" si="1"/>
        <v>Normal</v>
      </c>
      <c r="N23">
        <f>(Table1[[#This Row],[price]]*0.7)</f>
        <v>331.83499999999998</v>
      </c>
    </row>
    <row r="24" spans="1:14" x14ac:dyDescent="0.35">
      <c r="A24" t="str">
        <f t="shared" si="0"/>
        <v>P023</v>
      </c>
      <c r="B24" t="s">
        <v>10</v>
      </c>
      <c r="C24" t="s">
        <v>9</v>
      </c>
      <c r="D24">
        <v>348.82</v>
      </c>
      <c r="E24">
        <v>399</v>
      </c>
      <c r="F24">
        <v>3.7</v>
      </c>
      <c r="G24" t="b">
        <v>1</v>
      </c>
      <c r="H24">
        <f>(Table1[[#This Row],[price]]*Table1[[#This Row],[units_sold]])</f>
        <v>139179.18</v>
      </c>
      <c r="I24" t="str">
        <f>IF(Table1[[#This Row],[in_stock]]=TRUE,"Available","Out of stock")</f>
        <v>Available</v>
      </c>
      <c r="J24" t="str">
        <f>IF(Table1[[#This Row],[rating]]&gt;=4,"High",IF(Table1[[#This Row],[rating]]&gt;=2.5,"Medium","Low"))</f>
        <v>Medium</v>
      </c>
      <c r="K24" t="str">
        <f>IF(Table1[[#This Row],[price]]&lt;200,"Budget",IF(Table1[[#This Row],[price]]&lt;600,"Mid-Range",IF(Table1[[#This Row],[price]]&lt;1000,"Premium","Luxury")))</f>
        <v>Mid-Range</v>
      </c>
      <c r="L24" t="str">
        <f>IF(Table1[[#This Row],[units_sold]]&lt;50,"Very Low",IF(Table1[[#This Row],[units_sold]]&lt;150,"Low",IF(Table1[[#This Row],[units_sold]]&lt;300,"Medium","High")))</f>
        <v>High</v>
      </c>
      <c r="M24" t="str">
        <f t="shared" si="1"/>
        <v>Normal</v>
      </c>
      <c r="N24">
        <f>(Table1[[#This Row],[price]]*0.7)</f>
        <v>244.17399999999998</v>
      </c>
    </row>
    <row r="25" spans="1:14" x14ac:dyDescent="0.35">
      <c r="A25" t="str">
        <f t="shared" si="0"/>
        <v>P024</v>
      </c>
      <c r="B25" t="s">
        <v>15</v>
      </c>
      <c r="C25" t="s">
        <v>7</v>
      </c>
      <c r="D25">
        <v>915.76</v>
      </c>
      <c r="E25">
        <v>211</v>
      </c>
      <c r="F25">
        <v>1.5</v>
      </c>
      <c r="G25" t="b">
        <v>0</v>
      </c>
      <c r="H25">
        <f>(Table1[[#This Row],[price]]*Table1[[#This Row],[units_sold]])</f>
        <v>193225.36</v>
      </c>
      <c r="I25" t="str">
        <f>IF(Table1[[#This Row],[in_stock]]=TRUE,"Available","Out of stock")</f>
        <v>Out of stock</v>
      </c>
      <c r="J25" t="str">
        <f>IF(Table1[[#This Row],[rating]]&gt;=4,"High",IF(Table1[[#This Row],[rating]]&gt;=2.5,"Medium","Low"))</f>
        <v>Low</v>
      </c>
      <c r="K25" t="str">
        <f>IF(Table1[[#This Row],[price]]&lt;200,"Budget",IF(Table1[[#This Row],[price]]&lt;600,"Mid-Range",IF(Table1[[#This Row],[price]]&lt;1000,"Premium","Luxury")))</f>
        <v>Premium</v>
      </c>
      <c r="L25" t="str">
        <f>IF(Table1[[#This Row],[units_sold]]&lt;50,"Very Low",IF(Table1[[#This Row],[units_sold]]&lt;150,"Low",IF(Table1[[#This Row],[units_sold]]&lt;300,"Medium","High")))</f>
        <v>Medium</v>
      </c>
      <c r="M25" t="str">
        <f t="shared" si="1"/>
        <v>Normal</v>
      </c>
      <c r="N25">
        <f>(Table1[[#This Row],[price]]*0.7)</f>
        <v>641.03199999999993</v>
      </c>
    </row>
    <row r="26" spans="1:14" x14ac:dyDescent="0.35">
      <c r="A26" t="str">
        <f t="shared" si="0"/>
        <v>P025</v>
      </c>
      <c r="B26" t="s">
        <v>8</v>
      </c>
      <c r="C26" t="s">
        <v>9</v>
      </c>
      <c r="D26">
        <v>575.16999999999996</v>
      </c>
      <c r="E26">
        <v>391</v>
      </c>
      <c r="F26">
        <v>2.5</v>
      </c>
      <c r="G26" t="b">
        <v>1</v>
      </c>
      <c r="H26">
        <f>(Table1[[#This Row],[price]]*Table1[[#This Row],[units_sold]])</f>
        <v>224891.46999999997</v>
      </c>
      <c r="I26" t="str">
        <f>IF(Table1[[#This Row],[in_stock]]=TRUE,"Available","Out of stock")</f>
        <v>Available</v>
      </c>
      <c r="J26" t="str">
        <f>IF(Table1[[#This Row],[rating]]&gt;=4,"High",IF(Table1[[#This Row],[rating]]&gt;=2.5,"Medium","Low"))</f>
        <v>Medium</v>
      </c>
      <c r="K26" t="str">
        <f>IF(Table1[[#This Row],[price]]&lt;200,"Budget",IF(Table1[[#This Row],[price]]&lt;600,"Mid-Range",IF(Table1[[#This Row],[price]]&lt;1000,"Premium","Luxury")))</f>
        <v>Mid-Range</v>
      </c>
      <c r="L26" t="str">
        <f>IF(Table1[[#This Row],[units_sold]]&lt;50,"Very Low",IF(Table1[[#This Row],[units_sold]]&lt;150,"Low",IF(Table1[[#This Row],[units_sold]]&lt;300,"Medium","High")))</f>
        <v>High</v>
      </c>
      <c r="M26" t="str">
        <f t="shared" si="1"/>
        <v>Normal</v>
      </c>
      <c r="N26">
        <f>(Table1[[#This Row],[price]]*0.7)</f>
        <v>402.61899999999997</v>
      </c>
    </row>
    <row r="27" spans="1:14" x14ac:dyDescent="0.35">
      <c r="A27" t="str">
        <f t="shared" si="0"/>
        <v>P026</v>
      </c>
      <c r="B27" t="s">
        <v>16</v>
      </c>
      <c r="C27" t="s">
        <v>9</v>
      </c>
      <c r="D27">
        <v>1118.93</v>
      </c>
      <c r="E27">
        <v>499</v>
      </c>
      <c r="F27">
        <v>2.8</v>
      </c>
      <c r="G27" t="b">
        <v>0</v>
      </c>
      <c r="H27">
        <f>(Table1[[#This Row],[price]]*Table1[[#This Row],[units_sold]])</f>
        <v>558346.07000000007</v>
      </c>
      <c r="I27" t="str">
        <f>IF(Table1[[#This Row],[in_stock]]=TRUE,"Available","Out of stock")</f>
        <v>Out of stock</v>
      </c>
      <c r="J27" t="str">
        <f>IF(Table1[[#This Row],[rating]]&gt;=4,"High",IF(Table1[[#This Row],[rating]]&gt;=2.5,"Medium","Low"))</f>
        <v>Medium</v>
      </c>
      <c r="K27" t="str">
        <f>IF(Table1[[#This Row],[price]]&lt;200,"Budget",IF(Table1[[#This Row],[price]]&lt;600,"Mid-Range",IF(Table1[[#This Row],[price]]&lt;1000,"Premium","Luxury")))</f>
        <v>Luxury</v>
      </c>
      <c r="L27" t="str">
        <f>IF(Table1[[#This Row],[units_sold]]&lt;50,"Very Low",IF(Table1[[#This Row],[units_sold]]&lt;150,"Low",IF(Table1[[#This Row],[units_sold]]&lt;300,"Medium","High")))</f>
        <v>High</v>
      </c>
      <c r="M27" t="str">
        <f t="shared" si="1"/>
        <v>High Demand - Out of Stock</v>
      </c>
      <c r="N27">
        <f>(Table1[[#This Row],[price]]*0.7)</f>
        <v>783.25099999999998</v>
      </c>
    </row>
    <row r="28" spans="1:14" x14ac:dyDescent="0.35">
      <c r="A28" t="str">
        <f t="shared" si="0"/>
        <v>P027</v>
      </c>
      <c r="B28" t="s">
        <v>10</v>
      </c>
      <c r="C28" t="s">
        <v>9</v>
      </c>
      <c r="D28">
        <v>316.31</v>
      </c>
      <c r="E28">
        <v>28</v>
      </c>
      <c r="F28">
        <v>2.5</v>
      </c>
      <c r="G28" t="b">
        <v>1</v>
      </c>
      <c r="H28">
        <f>(Table1[[#This Row],[price]]*Table1[[#This Row],[units_sold]])</f>
        <v>8856.68</v>
      </c>
      <c r="I28" t="str">
        <f>IF(Table1[[#This Row],[in_stock]]=TRUE,"Available","Out of stock")</f>
        <v>Available</v>
      </c>
      <c r="J28" t="str">
        <f>IF(Table1[[#This Row],[rating]]&gt;=4,"High",IF(Table1[[#This Row],[rating]]&gt;=2.5,"Medium","Low"))</f>
        <v>Medium</v>
      </c>
      <c r="K28" t="str">
        <f>IF(Table1[[#This Row],[price]]&lt;200,"Budget",IF(Table1[[#This Row],[price]]&lt;600,"Mid-Range",IF(Table1[[#This Row],[price]]&lt;1000,"Premium","Luxury")))</f>
        <v>Mid-Range</v>
      </c>
      <c r="L28" t="str">
        <f>IF(Table1[[#This Row],[units_sold]]&lt;50,"Very Low",IF(Table1[[#This Row],[units_sold]]&lt;150,"Low",IF(Table1[[#This Row],[units_sold]]&lt;300,"Medium","High")))</f>
        <v>Very Low</v>
      </c>
      <c r="M28" t="str">
        <f t="shared" si="1"/>
        <v>Normal</v>
      </c>
      <c r="N28">
        <f>(Table1[[#This Row],[price]]*0.7)</f>
        <v>221.417</v>
      </c>
    </row>
    <row r="29" spans="1:14" x14ac:dyDescent="0.35">
      <c r="A29" t="str">
        <f t="shared" si="0"/>
        <v>P028</v>
      </c>
      <c r="B29" t="s">
        <v>13</v>
      </c>
      <c r="C29" t="s">
        <v>9</v>
      </c>
      <c r="D29">
        <v>1183.81</v>
      </c>
      <c r="E29">
        <v>51</v>
      </c>
      <c r="F29">
        <v>1.5</v>
      </c>
      <c r="G29" t="b">
        <v>1</v>
      </c>
      <c r="H29">
        <f>(Table1[[#This Row],[price]]*Table1[[#This Row],[units_sold]])</f>
        <v>60374.31</v>
      </c>
      <c r="I29" t="str">
        <f>IF(Table1[[#This Row],[in_stock]]=TRUE,"Available","Out of stock")</f>
        <v>Available</v>
      </c>
      <c r="J29" t="str">
        <f>IF(Table1[[#This Row],[rating]]&gt;=4,"High",IF(Table1[[#This Row],[rating]]&gt;=2.5,"Medium","Low"))</f>
        <v>Low</v>
      </c>
      <c r="K29" t="str">
        <f>IF(Table1[[#This Row],[price]]&lt;200,"Budget",IF(Table1[[#This Row],[price]]&lt;600,"Mid-Range",IF(Table1[[#This Row],[price]]&lt;1000,"Premium","Luxury")))</f>
        <v>Luxury</v>
      </c>
      <c r="L29" t="str">
        <f>IF(Table1[[#This Row],[units_sold]]&lt;50,"Very Low",IF(Table1[[#This Row],[units_sold]]&lt;150,"Low",IF(Table1[[#This Row],[units_sold]]&lt;300,"Medium","High")))</f>
        <v>Low</v>
      </c>
      <c r="M29" t="str">
        <f t="shared" si="1"/>
        <v>Normal</v>
      </c>
      <c r="N29">
        <f>(Table1[[#This Row],[price]]*0.7)</f>
        <v>828.66699999999992</v>
      </c>
    </row>
    <row r="30" spans="1:14" x14ac:dyDescent="0.35">
      <c r="A30" t="str">
        <f t="shared" si="0"/>
        <v>P029</v>
      </c>
      <c r="B30" t="s">
        <v>14</v>
      </c>
      <c r="C30" t="s">
        <v>9</v>
      </c>
      <c r="D30">
        <v>909.55</v>
      </c>
      <c r="E30">
        <v>491</v>
      </c>
      <c r="F30">
        <v>2.7</v>
      </c>
      <c r="G30" t="b">
        <v>1</v>
      </c>
      <c r="H30">
        <f>(Table1[[#This Row],[price]]*Table1[[#This Row],[units_sold]])</f>
        <v>446589.05</v>
      </c>
      <c r="I30" t="str">
        <f>IF(Table1[[#This Row],[in_stock]]=TRUE,"Available","Out of stock")</f>
        <v>Available</v>
      </c>
      <c r="J30" t="str">
        <f>IF(Table1[[#This Row],[rating]]&gt;=4,"High",IF(Table1[[#This Row],[rating]]&gt;=2.5,"Medium","Low"))</f>
        <v>Medium</v>
      </c>
      <c r="K30" t="str">
        <f>IF(Table1[[#This Row],[price]]&lt;200,"Budget",IF(Table1[[#This Row],[price]]&lt;600,"Mid-Range",IF(Table1[[#This Row],[price]]&lt;1000,"Premium","Luxury")))</f>
        <v>Premium</v>
      </c>
      <c r="L30" t="str">
        <f>IF(Table1[[#This Row],[units_sold]]&lt;50,"Very Low",IF(Table1[[#This Row],[units_sold]]&lt;150,"Low",IF(Table1[[#This Row],[units_sold]]&lt;300,"Medium","High")))</f>
        <v>High</v>
      </c>
      <c r="M30" t="str">
        <f t="shared" si="1"/>
        <v>Normal</v>
      </c>
      <c r="N30">
        <f>(Table1[[#This Row],[price]]*0.7)</f>
        <v>636.68499999999995</v>
      </c>
    </row>
    <row r="31" spans="1:14" x14ac:dyDescent="0.35">
      <c r="A31" t="str">
        <f t="shared" si="0"/>
        <v>P030</v>
      </c>
      <c r="B31" t="s">
        <v>17</v>
      </c>
      <c r="C31" t="s">
        <v>7</v>
      </c>
      <c r="D31">
        <v>180.26</v>
      </c>
      <c r="E31">
        <v>442</v>
      </c>
      <c r="F31">
        <v>4</v>
      </c>
      <c r="G31" t="b">
        <v>0</v>
      </c>
      <c r="H31">
        <f>(Table1[[#This Row],[price]]*Table1[[#This Row],[units_sold]])</f>
        <v>79674.92</v>
      </c>
      <c r="I31" t="str">
        <f>IF(Table1[[#This Row],[in_stock]]=TRUE,"Available","Out of stock")</f>
        <v>Out of stock</v>
      </c>
      <c r="J31" t="str">
        <f>IF(Table1[[#This Row],[rating]]&gt;=4,"High",IF(Table1[[#This Row],[rating]]&gt;=2.5,"Medium","Low"))</f>
        <v>High</v>
      </c>
      <c r="K31" t="str">
        <f>IF(Table1[[#This Row],[price]]&lt;200,"Budget",IF(Table1[[#This Row],[price]]&lt;600,"Mid-Range",IF(Table1[[#This Row],[price]]&lt;1000,"Premium","Luxury")))</f>
        <v>Budget</v>
      </c>
      <c r="L31" t="str">
        <f>IF(Table1[[#This Row],[units_sold]]&lt;50,"Very Low",IF(Table1[[#This Row],[units_sold]]&lt;150,"Low",IF(Table1[[#This Row],[units_sold]]&lt;300,"Medium","High")))</f>
        <v>High</v>
      </c>
      <c r="M31" t="str">
        <f t="shared" si="1"/>
        <v>High Demand - Out of Stock</v>
      </c>
      <c r="N31">
        <f>(Table1[[#This Row],[price]]*0.7)</f>
        <v>126.18199999999999</v>
      </c>
    </row>
    <row r="32" spans="1:14" x14ac:dyDescent="0.35">
      <c r="A32" t="str">
        <f t="shared" si="0"/>
        <v>P031</v>
      </c>
      <c r="B32" t="s">
        <v>8</v>
      </c>
      <c r="C32" t="s">
        <v>9</v>
      </c>
      <c r="D32">
        <v>627.61</v>
      </c>
      <c r="E32">
        <v>261</v>
      </c>
      <c r="F32">
        <v>1.3</v>
      </c>
      <c r="G32" t="b">
        <v>1</v>
      </c>
      <c r="H32">
        <f>(Table1[[#This Row],[price]]*Table1[[#This Row],[units_sold]])</f>
        <v>163806.21</v>
      </c>
      <c r="I32" t="str">
        <f>IF(Table1[[#This Row],[in_stock]]=TRUE,"Available","Out of stock")</f>
        <v>Available</v>
      </c>
      <c r="J32" t="str">
        <f>IF(Table1[[#This Row],[rating]]&gt;=4,"High",IF(Table1[[#This Row],[rating]]&gt;=2.5,"Medium","Low"))</f>
        <v>Low</v>
      </c>
      <c r="K32" t="str">
        <f>IF(Table1[[#This Row],[price]]&lt;200,"Budget",IF(Table1[[#This Row],[price]]&lt;600,"Mid-Range",IF(Table1[[#This Row],[price]]&lt;1000,"Premium","Luxury")))</f>
        <v>Premium</v>
      </c>
      <c r="L32" t="str">
        <f>IF(Table1[[#This Row],[units_sold]]&lt;50,"Very Low",IF(Table1[[#This Row],[units_sold]]&lt;150,"Low",IF(Table1[[#This Row],[units_sold]]&lt;300,"Medium","High")))</f>
        <v>Medium</v>
      </c>
      <c r="M32" t="str">
        <f t="shared" si="1"/>
        <v>Normal</v>
      </c>
      <c r="N32">
        <f>(Table1[[#This Row],[price]]*0.7)</f>
        <v>439.327</v>
      </c>
    </row>
    <row r="33" spans="1:14" x14ac:dyDescent="0.35">
      <c r="A33" t="str">
        <f t="shared" si="0"/>
        <v>P032</v>
      </c>
      <c r="B33" t="s">
        <v>13</v>
      </c>
      <c r="C33" t="s">
        <v>9</v>
      </c>
      <c r="D33">
        <v>1296.6400000000001</v>
      </c>
      <c r="E33">
        <v>261</v>
      </c>
      <c r="F33">
        <v>1.3</v>
      </c>
      <c r="G33" t="b">
        <v>1</v>
      </c>
      <c r="H33">
        <f>(Table1[[#This Row],[price]]*Table1[[#This Row],[units_sold]])</f>
        <v>338423.04000000004</v>
      </c>
      <c r="I33" t="str">
        <f>IF(Table1[[#This Row],[in_stock]]=TRUE,"Available","Out of stock")</f>
        <v>Available</v>
      </c>
      <c r="J33" t="str">
        <f>IF(Table1[[#This Row],[rating]]&gt;=4,"High",IF(Table1[[#This Row],[rating]]&gt;=2.5,"Medium","Low"))</f>
        <v>Low</v>
      </c>
      <c r="K33" t="str">
        <f>IF(Table1[[#This Row],[price]]&lt;200,"Budget",IF(Table1[[#This Row],[price]]&lt;600,"Mid-Range",IF(Table1[[#This Row],[price]]&lt;1000,"Premium","Luxury")))</f>
        <v>Luxury</v>
      </c>
      <c r="L33" t="str">
        <f>IF(Table1[[#This Row],[units_sold]]&lt;50,"Very Low",IF(Table1[[#This Row],[units_sold]]&lt;150,"Low",IF(Table1[[#This Row],[units_sold]]&lt;300,"Medium","High")))</f>
        <v>Medium</v>
      </c>
      <c r="M33" t="str">
        <f t="shared" si="1"/>
        <v>Normal</v>
      </c>
      <c r="N33">
        <f>(Table1[[#This Row],[price]]*0.7)</f>
        <v>907.64800000000002</v>
      </c>
    </row>
    <row r="34" spans="1:14" x14ac:dyDescent="0.35">
      <c r="A34" t="str">
        <f t="shared" si="0"/>
        <v>P033</v>
      </c>
      <c r="B34" t="s">
        <v>12</v>
      </c>
      <c r="C34" t="s">
        <v>7</v>
      </c>
      <c r="D34">
        <v>1385.21</v>
      </c>
      <c r="E34">
        <v>350</v>
      </c>
      <c r="F34">
        <v>2.4</v>
      </c>
      <c r="G34" t="b">
        <v>1</v>
      </c>
      <c r="H34">
        <f>(Table1[[#This Row],[price]]*Table1[[#This Row],[units_sold]])</f>
        <v>484823.5</v>
      </c>
      <c r="I34" t="str">
        <f>IF(Table1[[#This Row],[in_stock]]=TRUE,"Available","Out of stock")</f>
        <v>Available</v>
      </c>
      <c r="J34" t="str">
        <f>IF(Table1[[#This Row],[rating]]&gt;=4,"High",IF(Table1[[#This Row],[rating]]&gt;=2.5,"Medium","Low"))</f>
        <v>Low</v>
      </c>
      <c r="K34" t="str">
        <f>IF(Table1[[#This Row],[price]]&lt;200,"Budget",IF(Table1[[#This Row],[price]]&lt;600,"Mid-Range",IF(Table1[[#This Row],[price]]&lt;1000,"Premium","Luxury")))</f>
        <v>Luxury</v>
      </c>
      <c r="L34" t="str">
        <f>IF(Table1[[#This Row],[units_sold]]&lt;50,"Very Low",IF(Table1[[#This Row],[units_sold]]&lt;150,"Low",IF(Table1[[#This Row],[units_sold]]&lt;300,"Medium","High")))</f>
        <v>High</v>
      </c>
      <c r="M34" t="str">
        <f t="shared" si="1"/>
        <v>Normal</v>
      </c>
      <c r="N34">
        <f>(Table1[[#This Row],[price]]*0.7)</f>
        <v>969.64699999999993</v>
      </c>
    </row>
    <row r="35" spans="1:14" x14ac:dyDescent="0.35">
      <c r="A35" t="str">
        <f t="shared" si="0"/>
        <v>P034</v>
      </c>
      <c r="B35" t="s">
        <v>13</v>
      </c>
      <c r="C35" t="s">
        <v>9</v>
      </c>
      <c r="D35">
        <v>703.89</v>
      </c>
      <c r="E35">
        <v>352</v>
      </c>
      <c r="F35">
        <v>4.8</v>
      </c>
      <c r="G35" t="b">
        <v>1</v>
      </c>
      <c r="H35">
        <f>(Table1[[#This Row],[price]]*Table1[[#This Row],[units_sold]])</f>
        <v>247769.28</v>
      </c>
      <c r="I35" t="str">
        <f>IF(Table1[[#This Row],[in_stock]]=TRUE,"Available","Out of stock")</f>
        <v>Available</v>
      </c>
      <c r="J35" t="str">
        <f>IF(Table1[[#This Row],[rating]]&gt;=4,"High",IF(Table1[[#This Row],[rating]]&gt;=2.5,"Medium","Low"))</f>
        <v>High</v>
      </c>
      <c r="K35" t="str">
        <f>IF(Table1[[#This Row],[price]]&lt;200,"Budget",IF(Table1[[#This Row],[price]]&lt;600,"Mid-Range",IF(Table1[[#This Row],[price]]&lt;1000,"Premium","Luxury")))</f>
        <v>Premium</v>
      </c>
      <c r="L35" t="str">
        <f>IF(Table1[[#This Row],[units_sold]]&lt;50,"Very Low",IF(Table1[[#This Row],[units_sold]]&lt;150,"Low",IF(Table1[[#This Row],[units_sold]]&lt;300,"Medium","High")))</f>
        <v>High</v>
      </c>
      <c r="M35" t="str">
        <f t="shared" si="1"/>
        <v>Normal</v>
      </c>
      <c r="N35">
        <f>(Table1[[#This Row],[price]]*0.7)</f>
        <v>492.72299999999996</v>
      </c>
    </row>
    <row r="36" spans="1:14" x14ac:dyDescent="0.35">
      <c r="A36" t="str">
        <f t="shared" si="0"/>
        <v>P035</v>
      </c>
      <c r="B36" t="s">
        <v>14</v>
      </c>
      <c r="C36" t="s">
        <v>9</v>
      </c>
      <c r="D36">
        <v>726.45</v>
      </c>
      <c r="E36">
        <v>8</v>
      </c>
      <c r="F36">
        <v>3.7</v>
      </c>
      <c r="G36" t="b">
        <v>1</v>
      </c>
      <c r="H36">
        <f>(Table1[[#This Row],[price]]*Table1[[#This Row],[units_sold]])</f>
        <v>5811.6</v>
      </c>
      <c r="I36" t="str">
        <f>IF(Table1[[#This Row],[in_stock]]=TRUE,"Available","Out of stock")</f>
        <v>Available</v>
      </c>
      <c r="J36" t="str">
        <f>IF(Table1[[#This Row],[rating]]&gt;=4,"High",IF(Table1[[#This Row],[rating]]&gt;=2.5,"Medium","Low"))</f>
        <v>Medium</v>
      </c>
      <c r="K36" t="str">
        <f>IF(Table1[[#This Row],[price]]&lt;200,"Budget",IF(Table1[[#This Row],[price]]&lt;600,"Mid-Range",IF(Table1[[#This Row],[price]]&lt;1000,"Premium","Luxury")))</f>
        <v>Premium</v>
      </c>
      <c r="L36" t="str">
        <f>IF(Table1[[#This Row],[units_sold]]&lt;50,"Very Low",IF(Table1[[#This Row],[units_sold]]&lt;150,"Low",IF(Table1[[#This Row],[units_sold]]&lt;300,"Medium","High")))</f>
        <v>Very Low</v>
      </c>
      <c r="M36" t="str">
        <f t="shared" si="1"/>
        <v>Normal</v>
      </c>
      <c r="N36">
        <f>(Table1[[#This Row],[price]]*0.7)</f>
        <v>508.51499999999999</v>
      </c>
    </row>
    <row r="37" spans="1:14" x14ac:dyDescent="0.35">
      <c r="A37" t="str">
        <f t="shared" si="0"/>
        <v>P036</v>
      </c>
      <c r="B37" t="s">
        <v>12</v>
      </c>
      <c r="C37" t="s">
        <v>7</v>
      </c>
      <c r="D37">
        <v>1378.5</v>
      </c>
      <c r="E37">
        <v>320</v>
      </c>
      <c r="F37">
        <v>3.7</v>
      </c>
      <c r="G37" t="b">
        <v>1</v>
      </c>
      <c r="H37">
        <f>(Table1[[#This Row],[price]]*Table1[[#This Row],[units_sold]])</f>
        <v>441120</v>
      </c>
      <c r="I37" t="str">
        <f>IF(Table1[[#This Row],[in_stock]]=TRUE,"Available","Out of stock")</f>
        <v>Available</v>
      </c>
      <c r="J37" t="str">
        <f>IF(Table1[[#This Row],[rating]]&gt;=4,"High",IF(Table1[[#This Row],[rating]]&gt;=2.5,"Medium","Low"))</f>
        <v>Medium</v>
      </c>
      <c r="K37" t="str">
        <f>IF(Table1[[#This Row],[price]]&lt;200,"Budget",IF(Table1[[#This Row],[price]]&lt;600,"Mid-Range",IF(Table1[[#This Row],[price]]&lt;1000,"Premium","Luxury")))</f>
        <v>Luxury</v>
      </c>
      <c r="L37" t="str">
        <f>IF(Table1[[#This Row],[units_sold]]&lt;50,"Very Low",IF(Table1[[#This Row],[units_sold]]&lt;150,"Low",IF(Table1[[#This Row],[units_sold]]&lt;300,"Medium","High")))</f>
        <v>High</v>
      </c>
      <c r="M37" t="str">
        <f t="shared" si="1"/>
        <v>Normal</v>
      </c>
      <c r="N37">
        <f>(Table1[[#This Row],[price]]*0.7)</f>
        <v>964.94999999999993</v>
      </c>
    </row>
    <row r="38" spans="1:14" x14ac:dyDescent="0.35">
      <c r="A38" t="str">
        <f t="shared" si="0"/>
        <v>P037</v>
      </c>
      <c r="B38" t="s">
        <v>8</v>
      </c>
      <c r="C38" t="s">
        <v>9</v>
      </c>
      <c r="D38">
        <v>884.73</v>
      </c>
      <c r="E38">
        <v>138</v>
      </c>
      <c r="F38">
        <v>2.4</v>
      </c>
      <c r="G38" t="b">
        <v>1</v>
      </c>
      <c r="H38">
        <f>(Table1[[#This Row],[price]]*Table1[[#This Row],[units_sold]])</f>
        <v>122092.74</v>
      </c>
      <c r="I38" t="str">
        <f>IF(Table1[[#This Row],[in_stock]]=TRUE,"Available","Out of stock")</f>
        <v>Available</v>
      </c>
      <c r="J38" t="str">
        <f>IF(Table1[[#This Row],[rating]]&gt;=4,"High",IF(Table1[[#This Row],[rating]]&gt;=2.5,"Medium","Low"))</f>
        <v>Low</v>
      </c>
      <c r="K38" t="str">
        <f>IF(Table1[[#This Row],[price]]&lt;200,"Budget",IF(Table1[[#This Row],[price]]&lt;600,"Mid-Range",IF(Table1[[#This Row],[price]]&lt;1000,"Premium","Luxury")))</f>
        <v>Premium</v>
      </c>
      <c r="L38" t="str">
        <f>IF(Table1[[#This Row],[units_sold]]&lt;50,"Very Low",IF(Table1[[#This Row],[units_sold]]&lt;150,"Low",IF(Table1[[#This Row],[units_sold]]&lt;300,"Medium","High")))</f>
        <v>Low</v>
      </c>
      <c r="M38" t="str">
        <f t="shared" si="1"/>
        <v>Normal</v>
      </c>
      <c r="N38">
        <f>(Table1[[#This Row],[price]]*0.7)</f>
        <v>619.31099999999992</v>
      </c>
    </row>
    <row r="39" spans="1:14" x14ac:dyDescent="0.35">
      <c r="A39" t="str">
        <f t="shared" si="0"/>
        <v>P038</v>
      </c>
      <c r="B39" t="s">
        <v>14</v>
      </c>
      <c r="C39" t="s">
        <v>9</v>
      </c>
      <c r="D39">
        <v>58.94</v>
      </c>
      <c r="E39">
        <v>38</v>
      </c>
      <c r="F39">
        <v>3.4</v>
      </c>
      <c r="G39" t="b">
        <v>1</v>
      </c>
      <c r="H39">
        <f>(Table1[[#This Row],[price]]*Table1[[#This Row],[units_sold]])</f>
        <v>2239.7199999999998</v>
      </c>
      <c r="I39" t="str">
        <f>IF(Table1[[#This Row],[in_stock]]=TRUE,"Available","Out of stock")</f>
        <v>Available</v>
      </c>
      <c r="J39" t="str">
        <f>IF(Table1[[#This Row],[rating]]&gt;=4,"High",IF(Table1[[#This Row],[rating]]&gt;=2.5,"Medium","Low"))</f>
        <v>Medium</v>
      </c>
      <c r="K39" t="str">
        <f>IF(Table1[[#This Row],[price]]&lt;200,"Budget",IF(Table1[[#This Row],[price]]&lt;600,"Mid-Range",IF(Table1[[#This Row],[price]]&lt;1000,"Premium","Luxury")))</f>
        <v>Budget</v>
      </c>
      <c r="L39" t="str">
        <f>IF(Table1[[#This Row],[units_sold]]&lt;50,"Very Low",IF(Table1[[#This Row],[units_sold]]&lt;150,"Low",IF(Table1[[#This Row],[units_sold]]&lt;300,"Medium","High")))</f>
        <v>Very Low</v>
      </c>
      <c r="M39" t="str">
        <f t="shared" si="1"/>
        <v>Normal</v>
      </c>
      <c r="N39">
        <f>(Table1[[#This Row],[price]]*0.7)</f>
        <v>41.257999999999996</v>
      </c>
    </row>
    <row r="40" spans="1:14" x14ac:dyDescent="0.35">
      <c r="A40" t="str">
        <f t="shared" si="0"/>
        <v>P039</v>
      </c>
      <c r="B40" t="s">
        <v>11</v>
      </c>
      <c r="C40" t="s">
        <v>9</v>
      </c>
      <c r="D40">
        <v>1370</v>
      </c>
      <c r="E40">
        <v>111</v>
      </c>
      <c r="F40">
        <v>1</v>
      </c>
      <c r="G40" t="b">
        <v>1</v>
      </c>
      <c r="H40">
        <f>(Table1[[#This Row],[price]]*Table1[[#This Row],[units_sold]])</f>
        <v>152070</v>
      </c>
      <c r="I40" t="str">
        <f>IF(Table1[[#This Row],[in_stock]]=TRUE,"Available","Out of stock")</f>
        <v>Available</v>
      </c>
      <c r="J40" t="str">
        <f>IF(Table1[[#This Row],[rating]]&gt;=4,"High",IF(Table1[[#This Row],[rating]]&gt;=2.5,"Medium","Low"))</f>
        <v>Low</v>
      </c>
      <c r="K40" t="str">
        <f>IF(Table1[[#This Row],[price]]&lt;200,"Budget",IF(Table1[[#This Row],[price]]&lt;600,"Mid-Range",IF(Table1[[#This Row],[price]]&lt;1000,"Premium","Luxury")))</f>
        <v>Luxury</v>
      </c>
      <c r="L40" t="str">
        <f>IF(Table1[[#This Row],[units_sold]]&lt;50,"Very Low",IF(Table1[[#This Row],[units_sold]]&lt;150,"Low",IF(Table1[[#This Row],[units_sold]]&lt;300,"Medium","High")))</f>
        <v>Low</v>
      </c>
      <c r="M40" t="str">
        <f t="shared" si="1"/>
        <v>Normal</v>
      </c>
      <c r="N40">
        <f>(Table1[[#This Row],[price]]*0.7)</f>
        <v>958.99999999999989</v>
      </c>
    </row>
    <row r="41" spans="1:14" x14ac:dyDescent="0.35">
      <c r="A41" t="str">
        <f t="shared" si="0"/>
        <v>P040</v>
      </c>
      <c r="B41" t="s">
        <v>17</v>
      </c>
      <c r="C41" t="s">
        <v>7</v>
      </c>
      <c r="D41">
        <v>379.86</v>
      </c>
      <c r="E41">
        <v>480</v>
      </c>
      <c r="F41">
        <v>3.5</v>
      </c>
      <c r="G41" t="b">
        <v>1</v>
      </c>
      <c r="H41">
        <f>(Table1[[#This Row],[price]]*Table1[[#This Row],[units_sold]])</f>
        <v>182332.80000000002</v>
      </c>
      <c r="I41" t="str">
        <f>IF(Table1[[#This Row],[in_stock]]=TRUE,"Available","Out of stock")</f>
        <v>Available</v>
      </c>
      <c r="J41" t="str">
        <f>IF(Table1[[#This Row],[rating]]&gt;=4,"High",IF(Table1[[#This Row],[rating]]&gt;=2.5,"Medium","Low"))</f>
        <v>Medium</v>
      </c>
      <c r="K41" t="str">
        <f>IF(Table1[[#This Row],[price]]&lt;200,"Budget",IF(Table1[[#This Row],[price]]&lt;600,"Mid-Range",IF(Table1[[#This Row],[price]]&lt;1000,"Premium","Luxury")))</f>
        <v>Mid-Range</v>
      </c>
      <c r="L41" t="str">
        <f>IF(Table1[[#This Row],[units_sold]]&lt;50,"Very Low",IF(Table1[[#This Row],[units_sold]]&lt;150,"Low",IF(Table1[[#This Row],[units_sold]]&lt;300,"Medium","High")))</f>
        <v>High</v>
      </c>
      <c r="M41" t="str">
        <f t="shared" si="1"/>
        <v>Normal</v>
      </c>
      <c r="N41">
        <f>(Table1[[#This Row],[price]]*0.7)</f>
        <v>265.90199999999999</v>
      </c>
    </row>
    <row r="42" spans="1:14" x14ac:dyDescent="0.35">
      <c r="A42" t="str">
        <f t="shared" si="0"/>
        <v>P041</v>
      </c>
      <c r="B42" t="s">
        <v>8</v>
      </c>
      <c r="C42" t="s">
        <v>9</v>
      </c>
      <c r="D42">
        <v>870.67</v>
      </c>
      <c r="E42">
        <v>368</v>
      </c>
      <c r="F42">
        <v>4.7</v>
      </c>
      <c r="G42" t="b">
        <v>1</v>
      </c>
      <c r="H42">
        <f>(Table1[[#This Row],[price]]*Table1[[#This Row],[units_sold]])</f>
        <v>320406.56</v>
      </c>
      <c r="I42" t="str">
        <f>IF(Table1[[#This Row],[in_stock]]=TRUE,"Available","Out of stock")</f>
        <v>Available</v>
      </c>
      <c r="J42" t="str">
        <f>IF(Table1[[#This Row],[rating]]&gt;=4,"High",IF(Table1[[#This Row],[rating]]&gt;=2.5,"Medium","Low"))</f>
        <v>High</v>
      </c>
      <c r="K42" t="str">
        <f>IF(Table1[[#This Row],[price]]&lt;200,"Budget",IF(Table1[[#This Row],[price]]&lt;600,"Mid-Range",IF(Table1[[#This Row],[price]]&lt;1000,"Premium","Luxury")))</f>
        <v>Premium</v>
      </c>
      <c r="L42" t="str">
        <f>IF(Table1[[#This Row],[units_sold]]&lt;50,"Very Low",IF(Table1[[#This Row],[units_sold]]&lt;150,"Low",IF(Table1[[#This Row],[units_sold]]&lt;300,"Medium","High")))</f>
        <v>High</v>
      </c>
      <c r="M42" t="str">
        <f t="shared" si="1"/>
        <v>Normal</v>
      </c>
      <c r="N42">
        <f>(Table1[[#This Row],[price]]*0.7)</f>
        <v>609.46899999999994</v>
      </c>
    </row>
    <row r="43" spans="1:14" x14ac:dyDescent="0.35">
      <c r="A43" t="str">
        <f t="shared" si="0"/>
        <v>P042</v>
      </c>
      <c r="B43" t="s">
        <v>11</v>
      </c>
      <c r="C43" t="s">
        <v>9</v>
      </c>
      <c r="D43">
        <v>256.61</v>
      </c>
      <c r="E43">
        <v>220</v>
      </c>
      <c r="F43">
        <v>3.5</v>
      </c>
      <c r="G43" t="b">
        <v>0</v>
      </c>
      <c r="H43">
        <f>(Table1[[#This Row],[price]]*Table1[[#This Row],[units_sold]])</f>
        <v>56454.200000000004</v>
      </c>
      <c r="I43" t="str">
        <f>IF(Table1[[#This Row],[in_stock]]=TRUE,"Available","Out of stock")</f>
        <v>Out of stock</v>
      </c>
      <c r="J43" t="str">
        <f>IF(Table1[[#This Row],[rating]]&gt;=4,"High",IF(Table1[[#This Row],[rating]]&gt;=2.5,"Medium","Low"))</f>
        <v>Medium</v>
      </c>
      <c r="K43" t="str">
        <f>IF(Table1[[#This Row],[price]]&lt;200,"Budget",IF(Table1[[#This Row],[price]]&lt;600,"Mid-Range",IF(Table1[[#This Row],[price]]&lt;1000,"Premium","Luxury")))</f>
        <v>Mid-Range</v>
      </c>
      <c r="L43" t="str">
        <f>IF(Table1[[#This Row],[units_sold]]&lt;50,"Very Low",IF(Table1[[#This Row],[units_sold]]&lt;150,"Low",IF(Table1[[#This Row],[units_sold]]&lt;300,"Medium","High")))</f>
        <v>Medium</v>
      </c>
      <c r="M43" t="str">
        <f t="shared" si="1"/>
        <v>Normal</v>
      </c>
      <c r="N43">
        <f>(Table1[[#This Row],[price]]*0.7)</f>
        <v>179.62700000000001</v>
      </c>
    </row>
    <row r="44" spans="1:14" x14ac:dyDescent="0.35">
      <c r="A44" t="str">
        <f t="shared" si="0"/>
        <v>P043</v>
      </c>
      <c r="B44" t="s">
        <v>10</v>
      </c>
      <c r="C44" t="s">
        <v>9</v>
      </c>
      <c r="D44">
        <v>60.48</v>
      </c>
      <c r="E44">
        <v>337</v>
      </c>
      <c r="F44">
        <v>4.5</v>
      </c>
      <c r="G44" t="b">
        <v>1</v>
      </c>
      <c r="H44">
        <f>(Table1[[#This Row],[price]]*Table1[[#This Row],[units_sold]])</f>
        <v>20381.759999999998</v>
      </c>
      <c r="I44" t="str">
        <f>IF(Table1[[#This Row],[in_stock]]=TRUE,"Available","Out of stock")</f>
        <v>Available</v>
      </c>
      <c r="J44" t="str">
        <f>IF(Table1[[#This Row],[rating]]&gt;=4,"High",IF(Table1[[#This Row],[rating]]&gt;=2.5,"Medium","Low"))</f>
        <v>High</v>
      </c>
      <c r="K44" t="str">
        <f>IF(Table1[[#This Row],[price]]&lt;200,"Budget",IF(Table1[[#This Row],[price]]&lt;600,"Mid-Range",IF(Table1[[#This Row],[price]]&lt;1000,"Premium","Luxury")))</f>
        <v>Budget</v>
      </c>
      <c r="L44" t="str">
        <f>IF(Table1[[#This Row],[units_sold]]&lt;50,"Very Low",IF(Table1[[#This Row],[units_sold]]&lt;150,"Low",IF(Table1[[#This Row],[units_sold]]&lt;300,"Medium","High")))</f>
        <v>High</v>
      </c>
      <c r="M44" t="str">
        <f t="shared" si="1"/>
        <v>Normal</v>
      </c>
      <c r="N44">
        <f>(Table1[[#This Row],[price]]*0.7)</f>
        <v>42.335999999999999</v>
      </c>
    </row>
    <row r="45" spans="1:14" x14ac:dyDescent="0.35">
      <c r="A45" t="str">
        <f t="shared" si="0"/>
        <v>P044</v>
      </c>
      <c r="B45" t="s">
        <v>8</v>
      </c>
      <c r="C45" t="s">
        <v>9</v>
      </c>
      <c r="D45">
        <v>474.1</v>
      </c>
      <c r="E45">
        <v>223</v>
      </c>
      <c r="F45">
        <v>3.9</v>
      </c>
      <c r="G45" t="b">
        <v>1</v>
      </c>
      <c r="H45">
        <f>(Table1[[#This Row],[price]]*Table1[[#This Row],[units_sold]])</f>
        <v>105724.3</v>
      </c>
      <c r="I45" t="str">
        <f>IF(Table1[[#This Row],[in_stock]]=TRUE,"Available","Out of stock")</f>
        <v>Available</v>
      </c>
      <c r="J45" t="str">
        <f>IF(Table1[[#This Row],[rating]]&gt;=4,"High",IF(Table1[[#This Row],[rating]]&gt;=2.5,"Medium","Low"))</f>
        <v>Medium</v>
      </c>
      <c r="K45" t="str">
        <f>IF(Table1[[#This Row],[price]]&lt;200,"Budget",IF(Table1[[#This Row],[price]]&lt;600,"Mid-Range",IF(Table1[[#This Row],[price]]&lt;1000,"Premium","Luxury")))</f>
        <v>Mid-Range</v>
      </c>
      <c r="L45" t="str">
        <f>IF(Table1[[#This Row],[units_sold]]&lt;50,"Very Low",IF(Table1[[#This Row],[units_sold]]&lt;150,"Low",IF(Table1[[#This Row],[units_sold]]&lt;300,"Medium","High")))</f>
        <v>Medium</v>
      </c>
      <c r="M45" t="str">
        <f t="shared" si="1"/>
        <v>Normal</v>
      </c>
      <c r="N45">
        <f>(Table1[[#This Row],[price]]*0.7)</f>
        <v>331.87</v>
      </c>
    </row>
    <row r="46" spans="1:14" x14ac:dyDescent="0.35">
      <c r="A46" t="str">
        <f t="shared" si="0"/>
        <v>P045</v>
      </c>
      <c r="B46" t="s">
        <v>10</v>
      </c>
      <c r="C46" t="s">
        <v>9</v>
      </c>
      <c r="D46">
        <v>1172.94</v>
      </c>
      <c r="E46">
        <v>136</v>
      </c>
      <c r="F46">
        <v>1.5</v>
      </c>
      <c r="G46" t="b">
        <v>1</v>
      </c>
      <c r="H46">
        <f>(Table1[[#This Row],[price]]*Table1[[#This Row],[units_sold]])</f>
        <v>159519.84</v>
      </c>
      <c r="I46" t="str">
        <f>IF(Table1[[#This Row],[in_stock]]=TRUE,"Available","Out of stock")</f>
        <v>Available</v>
      </c>
      <c r="J46" t="str">
        <f>IF(Table1[[#This Row],[rating]]&gt;=4,"High",IF(Table1[[#This Row],[rating]]&gt;=2.5,"Medium","Low"))</f>
        <v>Low</v>
      </c>
      <c r="K46" t="str">
        <f>IF(Table1[[#This Row],[price]]&lt;200,"Budget",IF(Table1[[#This Row],[price]]&lt;600,"Mid-Range",IF(Table1[[#This Row],[price]]&lt;1000,"Premium","Luxury")))</f>
        <v>Luxury</v>
      </c>
      <c r="L46" t="str">
        <f>IF(Table1[[#This Row],[units_sold]]&lt;50,"Very Low",IF(Table1[[#This Row],[units_sold]]&lt;150,"Low",IF(Table1[[#This Row],[units_sold]]&lt;300,"Medium","High")))</f>
        <v>Low</v>
      </c>
      <c r="M46" t="str">
        <f t="shared" si="1"/>
        <v>Normal</v>
      </c>
      <c r="N46">
        <f>(Table1[[#This Row],[price]]*0.7)</f>
        <v>821.05799999999999</v>
      </c>
    </row>
    <row r="47" spans="1:14" x14ac:dyDescent="0.35">
      <c r="A47" t="str">
        <f t="shared" si="0"/>
        <v>P046</v>
      </c>
      <c r="B47" t="s">
        <v>12</v>
      </c>
      <c r="C47" t="s">
        <v>7</v>
      </c>
      <c r="D47">
        <v>423.6</v>
      </c>
      <c r="E47">
        <v>256</v>
      </c>
      <c r="F47">
        <v>4.5999999999999996</v>
      </c>
      <c r="G47" t="b">
        <v>1</v>
      </c>
      <c r="H47">
        <f>(Table1[[#This Row],[price]]*Table1[[#This Row],[units_sold]])</f>
        <v>108441.60000000001</v>
      </c>
      <c r="I47" t="str">
        <f>IF(Table1[[#This Row],[in_stock]]=TRUE,"Available","Out of stock")</f>
        <v>Available</v>
      </c>
      <c r="J47" t="str">
        <f>IF(Table1[[#This Row],[rating]]&gt;=4,"High",IF(Table1[[#This Row],[rating]]&gt;=2.5,"Medium","Low"))</f>
        <v>High</v>
      </c>
      <c r="K47" t="str">
        <f>IF(Table1[[#This Row],[price]]&lt;200,"Budget",IF(Table1[[#This Row],[price]]&lt;600,"Mid-Range",IF(Table1[[#This Row],[price]]&lt;1000,"Premium","Luxury")))</f>
        <v>Mid-Range</v>
      </c>
      <c r="L47" t="str">
        <f>IF(Table1[[#This Row],[units_sold]]&lt;50,"Very Low",IF(Table1[[#This Row],[units_sold]]&lt;150,"Low",IF(Table1[[#This Row],[units_sold]]&lt;300,"Medium","High")))</f>
        <v>Medium</v>
      </c>
      <c r="M47" t="str">
        <f t="shared" si="1"/>
        <v>Normal</v>
      </c>
      <c r="N47">
        <f>(Table1[[#This Row],[price]]*0.7)</f>
        <v>296.52</v>
      </c>
    </row>
    <row r="48" spans="1:14" x14ac:dyDescent="0.35">
      <c r="A48" t="str">
        <f t="shared" si="0"/>
        <v>P047</v>
      </c>
      <c r="B48" t="s">
        <v>11</v>
      </c>
      <c r="C48" t="s">
        <v>9</v>
      </c>
      <c r="D48">
        <v>337.94</v>
      </c>
      <c r="E48">
        <v>360</v>
      </c>
      <c r="F48">
        <v>1.3</v>
      </c>
      <c r="G48" t="b">
        <v>1</v>
      </c>
      <c r="H48">
        <f>(Table1[[#This Row],[price]]*Table1[[#This Row],[units_sold]])</f>
        <v>121658.4</v>
      </c>
      <c r="I48" t="str">
        <f>IF(Table1[[#This Row],[in_stock]]=TRUE,"Available","Out of stock")</f>
        <v>Available</v>
      </c>
      <c r="J48" t="str">
        <f>IF(Table1[[#This Row],[rating]]&gt;=4,"High",IF(Table1[[#This Row],[rating]]&gt;=2.5,"Medium","Low"))</f>
        <v>Low</v>
      </c>
      <c r="K48" t="str">
        <f>IF(Table1[[#This Row],[price]]&lt;200,"Budget",IF(Table1[[#This Row],[price]]&lt;600,"Mid-Range",IF(Table1[[#This Row],[price]]&lt;1000,"Premium","Luxury")))</f>
        <v>Mid-Range</v>
      </c>
      <c r="L48" t="str">
        <f>IF(Table1[[#This Row],[units_sold]]&lt;50,"Very Low",IF(Table1[[#This Row],[units_sold]]&lt;150,"Low",IF(Table1[[#This Row],[units_sold]]&lt;300,"Medium","High")))</f>
        <v>High</v>
      </c>
      <c r="M48" t="str">
        <f t="shared" si="1"/>
        <v>Normal</v>
      </c>
      <c r="N48">
        <f>(Table1[[#This Row],[price]]*0.7)</f>
        <v>236.55799999999999</v>
      </c>
    </row>
    <row r="49" spans="1:14" x14ac:dyDescent="0.35">
      <c r="A49" t="str">
        <f t="shared" si="0"/>
        <v>P048</v>
      </c>
      <c r="B49" t="s">
        <v>17</v>
      </c>
      <c r="C49" t="s">
        <v>7</v>
      </c>
      <c r="D49">
        <v>326.89</v>
      </c>
      <c r="E49">
        <v>409</v>
      </c>
      <c r="F49">
        <v>3.1</v>
      </c>
      <c r="G49" t="b">
        <v>0</v>
      </c>
      <c r="H49">
        <f>(Table1[[#This Row],[price]]*Table1[[#This Row],[units_sold]])</f>
        <v>133698.00999999998</v>
      </c>
      <c r="I49" t="str">
        <f>IF(Table1[[#This Row],[in_stock]]=TRUE,"Available","Out of stock")</f>
        <v>Out of stock</v>
      </c>
      <c r="J49" t="str">
        <f>IF(Table1[[#This Row],[rating]]&gt;=4,"High",IF(Table1[[#This Row],[rating]]&gt;=2.5,"Medium","Low"))</f>
        <v>Medium</v>
      </c>
      <c r="K49" t="str">
        <f>IF(Table1[[#This Row],[price]]&lt;200,"Budget",IF(Table1[[#This Row],[price]]&lt;600,"Mid-Range",IF(Table1[[#This Row],[price]]&lt;1000,"Premium","Luxury")))</f>
        <v>Mid-Range</v>
      </c>
      <c r="L49" t="str">
        <f>IF(Table1[[#This Row],[units_sold]]&lt;50,"Very Low",IF(Table1[[#This Row],[units_sold]]&lt;150,"Low",IF(Table1[[#This Row],[units_sold]]&lt;300,"Medium","High")))</f>
        <v>High</v>
      </c>
      <c r="M49" t="str">
        <f t="shared" si="1"/>
        <v>High Demand - Out of Stock</v>
      </c>
      <c r="N49">
        <f>(Table1[[#This Row],[price]]*0.7)</f>
        <v>228.82299999999998</v>
      </c>
    </row>
    <row r="50" spans="1:14" x14ac:dyDescent="0.35">
      <c r="A50" t="str">
        <f t="shared" si="0"/>
        <v>P049</v>
      </c>
      <c r="B50" t="s">
        <v>14</v>
      </c>
      <c r="C50" t="s">
        <v>9</v>
      </c>
      <c r="D50">
        <v>777.61</v>
      </c>
      <c r="E50">
        <v>329</v>
      </c>
      <c r="F50">
        <v>1.6</v>
      </c>
      <c r="G50" t="b">
        <v>1</v>
      </c>
      <c r="H50">
        <f>(Table1[[#This Row],[price]]*Table1[[#This Row],[units_sold]])</f>
        <v>255833.69</v>
      </c>
      <c r="I50" t="str">
        <f>IF(Table1[[#This Row],[in_stock]]=TRUE,"Available","Out of stock")</f>
        <v>Available</v>
      </c>
      <c r="J50" t="str">
        <f>IF(Table1[[#This Row],[rating]]&gt;=4,"High",IF(Table1[[#This Row],[rating]]&gt;=2.5,"Medium","Low"))</f>
        <v>Low</v>
      </c>
      <c r="K50" t="str">
        <f>IF(Table1[[#This Row],[price]]&lt;200,"Budget",IF(Table1[[#This Row],[price]]&lt;600,"Mid-Range",IF(Table1[[#This Row],[price]]&lt;1000,"Premium","Luxury")))</f>
        <v>Premium</v>
      </c>
      <c r="L50" t="str">
        <f>IF(Table1[[#This Row],[units_sold]]&lt;50,"Very Low",IF(Table1[[#This Row],[units_sold]]&lt;150,"Low",IF(Table1[[#This Row],[units_sold]]&lt;300,"Medium","High")))</f>
        <v>High</v>
      </c>
      <c r="M50" t="str">
        <f t="shared" si="1"/>
        <v>Normal</v>
      </c>
      <c r="N50">
        <f>(Table1[[#This Row],[price]]*0.7)</f>
        <v>544.327</v>
      </c>
    </row>
    <row r="51" spans="1:14" x14ac:dyDescent="0.35">
      <c r="A51" t="str">
        <f t="shared" si="0"/>
        <v>P050</v>
      </c>
      <c r="B51" t="s">
        <v>6</v>
      </c>
      <c r="C51" t="s">
        <v>7</v>
      </c>
      <c r="D51">
        <v>1463.56</v>
      </c>
      <c r="E51">
        <v>450</v>
      </c>
      <c r="F51">
        <v>1</v>
      </c>
      <c r="G51" t="b">
        <v>1</v>
      </c>
      <c r="H51">
        <f>(Table1[[#This Row],[price]]*Table1[[#This Row],[units_sold]])</f>
        <v>658602</v>
      </c>
      <c r="I51" t="str">
        <f>IF(Table1[[#This Row],[in_stock]]=TRUE,"Available","Out of stock")</f>
        <v>Available</v>
      </c>
      <c r="J51" t="str">
        <f>IF(Table1[[#This Row],[rating]]&gt;=4,"High",IF(Table1[[#This Row],[rating]]&gt;=2.5,"Medium","Low"))</f>
        <v>Low</v>
      </c>
      <c r="K51" t="str">
        <f>IF(Table1[[#This Row],[price]]&lt;200,"Budget",IF(Table1[[#This Row],[price]]&lt;600,"Mid-Range",IF(Table1[[#This Row],[price]]&lt;1000,"Premium","Luxury")))</f>
        <v>Luxury</v>
      </c>
      <c r="L51" t="str">
        <f>IF(Table1[[#This Row],[units_sold]]&lt;50,"Very Low",IF(Table1[[#This Row],[units_sold]]&lt;150,"Low",IF(Table1[[#This Row],[units_sold]]&lt;300,"Medium","High")))</f>
        <v>High</v>
      </c>
      <c r="M51" t="str">
        <f t="shared" si="1"/>
        <v>Normal</v>
      </c>
      <c r="N51">
        <f>(Table1[[#This Row],[price]]*0.7)</f>
        <v>1024.492</v>
      </c>
    </row>
    <row r="52" spans="1:14" x14ac:dyDescent="0.35">
      <c r="A52" t="str">
        <f t="shared" si="0"/>
        <v>P051</v>
      </c>
      <c r="B52" t="s">
        <v>13</v>
      </c>
      <c r="C52" t="s">
        <v>9</v>
      </c>
      <c r="D52">
        <v>693.89</v>
      </c>
      <c r="E52">
        <v>463</v>
      </c>
      <c r="F52">
        <v>2.7</v>
      </c>
      <c r="G52" t="b">
        <v>1</v>
      </c>
      <c r="H52">
        <f>(Table1[[#This Row],[price]]*Table1[[#This Row],[units_sold]])</f>
        <v>321271.07</v>
      </c>
      <c r="I52" t="str">
        <f>IF(Table1[[#This Row],[in_stock]]=TRUE,"Available","Out of stock")</f>
        <v>Available</v>
      </c>
      <c r="J52" t="str">
        <f>IF(Table1[[#This Row],[rating]]&gt;=4,"High",IF(Table1[[#This Row],[rating]]&gt;=2.5,"Medium","Low"))</f>
        <v>Medium</v>
      </c>
      <c r="K52" t="str">
        <f>IF(Table1[[#This Row],[price]]&lt;200,"Budget",IF(Table1[[#This Row],[price]]&lt;600,"Mid-Range",IF(Table1[[#This Row],[price]]&lt;1000,"Premium","Luxury")))</f>
        <v>Premium</v>
      </c>
      <c r="L52" t="str">
        <f>IF(Table1[[#This Row],[units_sold]]&lt;50,"Very Low",IF(Table1[[#This Row],[units_sold]]&lt;150,"Low",IF(Table1[[#This Row],[units_sold]]&lt;300,"Medium","High")))</f>
        <v>High</v>
      </c>
      <c r="M52" t="str">
        <f t="shared" si="1"/>
        <v>Normal</v>
      </c>
      <c r="N52">
        <f>(Table1[[#This Row],[price]]*0.7)</f>
        <v>485.72299999999996</v>
      </c>
    </row>
    <row r="53" spans="1:14" x14ac:dyDescent="0.35">
      <c r="A53" t="str">
        <f t="shared" si="0"/>
        <v>P052</v>
      </c>
      <c r="B53" t="s">
        <v>16</v>
      </c>
      <c r="C53" t="s">
        <v>9</v>
      </c>
      <c r="D53">
        <v>840.38</v>
      </c>
      <c r="E53">
        <v>434</v>
      </c>
      <c r="F53">
        <v>2.2000000000000002</v>
      </c>
      <c r="G53" t="b">
        <v>1</v>
      </c>
      <c r="H53">
        <f>(Table1[[#This Row],[price]]*Table1[[#This Row],[units_sold]])</f>
        <v>364724.92</v>
      </c>
      <c r="I53" t="str">
        <f>IF(Table1[[#This Row],[in_stock]]=TRUE,"Available","Out of stock")</f>
        <v>Available</v>
      </c>
      <c r="J53" t="str">
        <f>IF(Table1[[#This Row],[rating]]&gt;=4,"High",IF(Table1[[#This Row],[rating]]&gt;=2.5,"Medium","Low"))</f>
        <v>Low</v>
      </c>
      <c r="K53" t="str">
        <f>IF(Table1[[#This Row],[price]]&lt;200,"Budget",IF(Table1[[#This Row],[price]]&lt;600,"Mid-Range",IF(Table1[[#This Row],[price]]&lt;1000,"Premium","Luxury")))</f>
        <v>Premium</v>
      </c>
      <c r="L53" t="str">
        <f>IF(Table1[[#This Row],[units_sold]]&lt;50,"Very Low",IF(Table1[[#This Row],[units_sold]]&lt;150,"Low",IF(Table1[[#This Row],[units_sold]]&lt;300,"Medium","High")))</f>
        <v>High</v>
      </c>
      <c r="M53" t="str">
        <f t="shared" si="1"/>
        <v>Normal</v>
      </c>
      <c r="N53">
        <f>(Table1[[#This Row],[price]]*0.7)</f>
        <v>588.26599999999996</v>
      </c>
    </row>
    <row r="54" spans="1:14" x14ac:dyDescent="0.35">
      <c r="A54" t="str">
        <f t="shared" si="0"/>
        <v>P053</v>
      </c>
      <c r="B54" t="s">
        <v>17</v>
      </c>
      <c r="C54" t="s">
        <v>7</v>
      </c>
      <c r="D54">
        <v>1292.3399999999999</v>
      </c>
      <c r="E54">
        <v>451</v>
      </c>
      <c r="F54">
        <v>2.9</v>
      </c>
      <c r="G54" t="b">
        <v>1</v>
      </c>
      <c r="H54">
        <f>(Table1[[#This Row],[price]]*Table1[[#This Row],[units_sold]])</f>
        <v>582845.34</v>
      </c>
      <c r="I54" t="str">
        <f>IF(Table1[[#This Row],[in_stock]]=TRUE,"Available","Out of stock")</f>
        <v>Available</v>
      </c>
      <c r="J54" t="str">
        <f>IF(Table1[[#This Row],[rating]]&gt;=4,"High",IF(Table1[[#This Row],[rating]]&gt;=2.5,"Medium","Low"))</f>
        <v>Medium</v>
      </c>
      <c r="K54" t="str">
        <f>IF(Table1[[#This Row],[price]]&lt;200,"Budget",IF(Table1[[#This Row],[price]]&lt;600,"Mid-Range",IF(Table1[[#This Row],[price]]&lt;1000,"Premium","Luxury")))</f>
        <v>Luxury</v>
      </c>
      <c r="L54" t="str">
        <f>IF(Table1[[#This Row],[units_sold]]&lt;50,"Very Low",IF(Table1[[#This Row],[units_sold]]&lt;150,"Low",IF(Table1[[#This Row],[units_sold]]&lt;300,"Medium","High")))</f>
        <v>High</v>
      </c>
      <c r="M54" t="str">
        <f t="shared" si="1"/>
        <v>Normal</v>
      </c>
      <c r="N54">
        <f>(Table1[[#This Row],[price]]*0.7)</f>
        <v>904.63799999999992</v>
      </c>
    </row>
    <row r="55" spans="1:14" x14ac:dyDescent="0.35">
      <c r="A55" t="str">
        <f t="shared" si="0"/>
        <v>P054</v>
      </c>
      <c r="B55" t="s">
        <v>11</v>
      </c>
      <c r="C55" t="s">
        <v>9</v>
      </c>
      <c r="D55">
        <v>807.25</v>
      </c>
      <c r="E55">
        <v>49</v>
      </c>
      <c r="F55">
        <v>3.3</v>
      </c>
      <c r="G55" t="b">
        <v>0</v>
      </c>
      <c r="H55">
        <f>(Table1[[#This Row],[price]]*Table1[[#This Row],[units_sold]])</f>
        <v>39555.25</v>
      </c>
      <c r="I55" t="str">
        <f>IF(Table1[[#This Row],[in_stock]]=TRUE,"Available","Out of stock")</f>
        <v>Out of stock</v>
      </c>
      <c r="J55" t="str">
        <f>IF(Table1[[#This Row],[rating]]&gt;=4,"High",IF(Table1[[#This Row],[rating]]&gt;=2.5,"Medium","Low"))</f>
        <v>Medium</v>
      </c>
      <c r="K55" t="str">
        <f>IF(Table1[[#This Row],[price]]&lt;200,"Budget",IF(Table1[[#This Row],[price]]&lt;600,"Mid-Range",IF(Table1[[#This Row],[price]]&lt;1000,"Premium","Luxury")))</f>
        <v>Premium</v>
      </c>
      <c r="L55" t="str">
        <f>IF(Table1[[#This Row],[units_sold]]&lt;50,"Very Low",IF(Table1[[#This Row],[units_sold]]&lt;150,"Low",IF(Table1[[#This Row],[units_sold]]&lt;300,"Medium","High")))</f>
        <v>Very Low</v>
      </c>
      <c r="M55" t="str">
        <f t="shared" si="1"/>
        <v>Normal</v>
      </c>
      <c r="N55">
        <f>(Table1[[#This Row],[price]]*0.7)</f>
        <v>565.07499999999993</v>
      </c>
    </row>
    <row r="56" spans="1:14" x14ac:dyDescent="0.35">
      <c r="A56" t="str">
        <f t="shared" si="0"/>
        <v>P055</v>
      </c>
      <c r="B56" t="s">
        <v>6</v>
      </c>
      <c r="C56" t="s">
        <v>7</v>
      </c>
      <c r="D56">
        <v>284.85000000000002</v>
      </c>
      <c r="E56">
        <v>292</v>
      </c>
      <c r="F56">
        <v>1.2</v>
      </c>
      <c r="G56" t="b">
        <v>1</v>
      </c>
      <c r="H56">
        <f>(Table1[[#This Row],[price]]*Table1[[#This Row],[units_sold]])</f>
        <v>83176.200000000012</v>
      </c>
      <c r="I56" t="str">
        <f>IF(Table1[[#This Row],[in_stock]]=TRUE,"Available","Out of stock")</f>
        <v>Available</v>
      </c>
      <c r="J56" t="str">
        <f>IF(Table1[[#This Row],[rating]]&gt;=4,"High",IF(Table1[[#This Row],[rating]]&gt;=2.5,"Medium","Low"))</f>
        <v>Low</v>
      </c>
      <c r="K56" t="str">
        <f>IF(Table1[[#This Row],[price]]&lt;200,"Budget",IF(Table1[[#This Row],[price]]&lt;600,"Mid-Range",IF(Table1[[#This Row],[price]]&lt;1000,"Premium","Luxury")))</f>
        <v>Mid-Range</v>
      </c>
      <c r="L56" t="str">
        <f>IF(Table1[[#This Row],[units_sold]]&lt;50,"Very Low",IF(Table1[[#This Row],[units_sold]]&lt;150,"Low",IF(Table1[[#This Row],[units_sold]]&lt;300,"Medium","High")))</f>
        <v>Medium</v>
      </c>
      <c r="M56" t="str">
        <f t="shared" si="1"/>
        <v>Normal</v>
      </c>
      <c r="N56">
        <f>(Table1[[#This Row],[price]]*0.7)</f>
        <v>199.39500000000001</v>
      </c>
    </row>
    <row r="57" spans="1:14" x14ac:dyDescent="0.35">
      <c r="A57" t="str">
        <f t="shared" si="0"/>
        <v>P056</v>
      </c>
      <c r="B57" t="s">
        <v>17</v>
      </c>
      <c r="C57" t="s">
        <v>7</v>
      </c>
      <c r="D57">
        <v>456.4</v>
      </c>
      <c r="E57">
        <v>382</v>
      </c>
      <c r="F57">
        <v>1.5</v>
      </c>
      <c r="G57" t="b">
        <v>1</v>
      </c>
      <c r="H57">
        <f>(Table1[[#This Row],[price]]*Table1[[#This Row],[units_sold]])</f>
        <v>174344.8</v>
      </c>
      <c r="I57" t="str">
        <f>IF(Table1[[#This Row],[in_stock]]=TRUE,"Available","Out of stock")</f>
        <v>Available</v>
      </c>
      <c r="J57" t="str">
        <f>IF(Table1[[#This Row],[rating]]&gt;=4,"High",IF(Table1[[#This Row],[rating]]&gt;=2.5,"Medium","Low"))</f>
        <v>Low</v>
      </c>
      <c r="K57" t="str">
        <f>IF(Table1[[#This Row],[price]]&lt;200,"Budget",IF(Table1[[#This Row],[price]]&lt;600,"Mid-Range",IF(Table1[[#This Row],[price]]&lt;1000,"Premium","Luxury")))</f>
        <v>Mid-Range</v>
      </c>
      <c r="L57" t="str">
        <f>IF(Table1[[#This Row],[units_sold]]&lt;50,"Very Low",IF(Table1[[#This Row],[units_sold]]&lt;150,"Low",IF(Table1[[#This Row],[units_sold]]&lt;300,"Medium","High")))</f>
        <v>High</v>
      </c>
      <c r="M57" t="str">
        <f t="shared" si="1"/>
        <v>Normal</v>
      </c>
      <c r="N57">
        <f>(Table1[[#This Row],[price]]*0.7)</f>
        <v>319.47999999999996</v>
      </c>
    </row>
    <row r="58" spans="1:14" x14ac:dyDescent="0.35">
      <c r="A58" t="str">
        <f t="shared" si="0"/>
        <v>P057</v>
      </c>
      <c r="B58" t="s">
        <v>11</v>
      </c>
      <c r="C58" t="s">
        <v>9</v>
      </c>
      <c r="D58">
        <v>471.81</v>
      </c>
      <c r="E58">
        <v>324</v>
      </c>
      <c r="F58">
        <v>3.2</v>
      </c>
      <c r="G58" t="b">
        <v>1</v>
      </c>
      <c r="H58">
        <f>(Table1[[#This Row],[price]]*Table1[[#This Row],[units_sold]])</f>
        <v>152866.44</v>
      </c>
      <c r="I58" t="str">
        <f>IF(Table1[[#This Row],[in_stock]]=TRUE,"Available","Out of stock")</f>
        <v>Available</v>
      </c>
      <c r="J58" t="str">
        <f>IF(Table1[[#This Row],[rating]]&gt;=4,"High",IF(Table1[[#This Row],[rating]]&gt;=2.5,"Medium","Low"))</f>
        <v>Medium</v>
      </c>
      <c r="K58" t="str">
        <f>IF(Table1[[#This Row],[price]]&lt;200,"Budget",IF(Table1[[#This Row],[price]]&lt;600,"Mid-Range",IF(Table1[[#This Row],[price]]&lt;1000,"Premium","Luxury")))</f>
        <v>Mid-Range</v>
      </c>
      <c r="L58" t="str">
        <f>IF(Table1[[#This Row],[units_sold]]&lt;50,"Very Low",IF(Table1[[#This Row],[units_sold]]&lt;150,"Low",IF(Table1[[#This Row],[units_sold]]&lt;300,"Medium","High")))</f>
        <v>High</v>
      </c>
      <c r="M58" t="str">
        <f t="shared" si="1"/>
        <v>Normal</v>
      </c>
      <c r="N58">
        <f>(Table1[[#This Row],[price]]*0.7)</f>
        <v>330.267</v>
      </c>
    </row>
    <row r="59" spans="1:14" x14ac:dyDescent="0.35">
      <c r="A59" t="str">
        <f t="shared" si="0"/>
        <v>P058</v>
      </c>
      <c r="B59" t="s">
        <v>15</v>
      </c>
      <c r="C59" t="s">
        <v>7</v>
      </c>
      <c r="D59">
        <v>602</v>
      </c>
      <c r="E59">
        <v>78</v>
      </c>
      <c r="F59">
        <v>2.4</v>
      </c>
      <c r="G59" t="b">
        <v>1</v>
      </c>
      <c r="H59">
        <f>(Table1[[#This Row],[price]]*Table1[[#This Row],[units_sold]])</f>
        <v>46956</v>
      </c>
      <c r="I59" t="str">
        <f>IF(Table1[[#This Row],[in_stock]]=TRUE,"Available","Out of stock")</f>
        <v>Available</v>
      </c>
      <c r="J59" t="str">
        <f>IF(Table1[[#This Row],[rating]]&gt;=4,"High",IF(Table1[[#This Row],[rating]]&gt;=2.5,"Medium","Low"))</f>
        <v>Low</v>
      </c>
      <c r="K59" t="str">
        <f>IF(Table1[[#This Row],[price]]&lt;200,"Budget",IF(Table1[[#This Row],[price]]&lt;600,"Mid-Range",IF(Table1[[#This Row],[price]]&lt;1000,"Premium","Luxury")))</f>
        <v>Premium</v>
      </c>
      <c r="L59" t="str">
        <f>IF(Table1[[#This Row],[units_sold]]&lt;50,"Very Low",IF(Table1[[#This Row],[units_sold]]&lt;150,"Low",IF(Table1[[#This Row],[units_sold]]&lt;300,"Medium","High")))</f>
        <v>Low</v>
      </c>
      <c r="M59" t="str">
        <f t="shared" si="1"/>
        <v>Normal</v>
      </c>
      <c r="N59">
        <f>(Table1[[#This Row],[price]]*0.7)</f>
        <v>421.4</v>
      </c>
    </row>
    <row r="60" spans="1:14" x14ac:dyDescent="0.35">
      <c r="A60" t="str">
        <f t="shared" si="0"/>
        <v>P059</v>
      </c>
      <c r="B60" t="s">
        <v>15</v>
      </c>
      <c r="C60" t="s">
        <v>7</v>
      </c>
      <c r="D60">
        <v>645.91999999999996</v>
      </c>
      <c r="E60">
        <v>105</v>
      </c>
      <c r="F60">
        <v>3.9</v>
      </c>
      <c r="G60" t="b">
        <v>1</v>
      </c>
      <c r="H60">
        <f>(Table1[[#This Row],[price]]*Table1[[#This Row],[units_sold]])</f>
        <v>67821.599999999991</v>
      </c>
      <c r="I60" t="str">
        <f>IF(Table1[[#This Row],[in_stock]]=TRUE,"Available","Out of stock")</f>
        <v>Available</v>
      </c>
      <c r="J60" t="str">
        <f>IF(Table1[[#This Row],[rating]]&gt;=4,"High",IF(Table1[[#This Row],[rating]]&gt;=2.5,"Medium","Low"))</f>
        <v>Medium</v>
      </c>
      <c r="K60" t="str">
        <f>IF(Table1[[#This Row],[price]]&lt;200,"Budget",IF(Table1[[#This Row],[price]]&lt;600,"Mid-Range",IF(Table1[[#This Row],[price]]&lt;1000,"Premium","Luxury")))</f>
        <v>Premium</v>
      </c>
      <c r="L60" t="str">
        <f>IF(Table1[[#This Row],[units_sold]]&lt;50,"Very Low",IF(Table1[[#This Row],[units_sold]]&lt;150,"Low",IF(Table1[[#This Row],[units_sold]]&lt;300,"Medium","High")))</f>
        <v>Low</v>
      </c>
      <c r="M60" t="str">
        <f t="shared" si="1"/>
        <v>Normal</v>
      </c>
      <c r="N60">
        <f>(Table1[[#This Row],[price]]*0.7)</f>
        <v>452.14399999999995</v>
      </c>
    </row>
    <row r="61" spans="1:14" x14ac:dyDescent="0.35">
      <c r="A61" t="str">
        <f t="shared" si="0"/>
        <v>P060</v>
      </c>
      <c r="B61" t="s">
        <v>10</v>
      </c>
      <c r="C61" t="s">
        <v>9</v>
      </c>
      <c r="D61">
        <v>1201.68</v>
      </c>
      <c r="E61">
        <v>169</v>
      </c>
      <c r="F61">
        <v>3.6</v>
      </c>
      <c r="G61" t="b">
        <v>1</v>
      </c>
      <c r="H61">
        <f>(Table1[[#This Row],[price]]*Table1[[#This Row],[units_sold]])</f>
        <v>203083.92</v>
      </c>
      <c r="I61" t="str">
        <f>IF(Table1[[#This Row],[in_stock]]=TRUE,"Available","Out of stock")</f>
        <v>Available</v>
      </c>
      <c r="J61" t="str">
        <f>IF(Table1[[#This Row],[rating]]&gt;=4,"High",IF(Table1[[#This Row],[rating]]&gt;=2.5,"Medium","Low"))</f>
        <v>Medium</v>
      </c>
      <c r="K61" t="str">
        <f>IF(Table1[[#This Row],[price]]&lt;200,"Budget",IF(Table1[[#This Row],[price]]&lt;600,"Mid-Range",IF(Table1[[#This Row],[price]]&lt;1000,"Premium","Luxury")))</f>
        <v>Luxury</v>
      </c>
      <c r="L61" t="str">
        <f>IF(Table1[[#This Row],[units_sold]]&lt;50,"Very Low",IF(Table1[[#This Row],[units_sold]]&lt;150,"Low",IF(Table1[[#This Row],[units_sold]]&lt;300,"Medium","High")))</f>
        <v>Medium</v>
      </c>
      <c r="M61" t="str">
        <f t="shared" si="1"/>
        <v>Normal</v>
      </c>
      <c r="N61">
        <f>(Table1[[#This Row],[price]]*0.7)</f>
        <v>841.17600000000004</v>
      </c>
    </row>
    <row r="62" spans="1:14" x14ac:dyDescent="0.35">
      <c r="A62" t="str">
        <f t="shared" si="0"/>
        <v>P061</v>
      </c>
      <c r="B62" t="s">
        <v>17</v>
      </c>
      <c r="C62" t="s">
        <v>7</v>
      </c>
      <c r="D62">
        <v>530.59</v>
      </c>
      <c r="E62">
        <v>217</v>
      </c>
      <c r="F62">
        <v>4.4000000000000004</v>
      </c>
      <c r="G62" t="b">
        <v>1</v>
      </c>
      <c r="H62">
        <f>(Table1[[#This Row],[price]]*Table1[[#This Row],[units_sold]])</f>
        <v>115138.03000000001</v>
      </c>
      <c r="I62" t="str">
        <f>IF(Table1[[#This Row],[in_stock]]=TRUE,"Available","Out of stock")</f>
        <v>Available</v>
      </c>
      <c r="J62" t="str">
        <f>IF(Table1[[#This Row],[rating]]&gt;=4,"High",IF(Table1[[#This Row],[rating]]&gt;=2.5,"Medium","Low"))</f>
        <v>High</v>
      </c>
      <c r="K62" t="str">
        <f>IF(Table1[[#This Row],[price]]&lt;200,"Budget",IF(Table1[[#This Row],[price]]&lt;600,"Mid-Range",IF(Table1[[#This Row],[price]]&lt;1000,"Premium","Luxury")))</f>
        <v>Mid-Range</v>
      </c>
      <c r="L62" t="str">
        <f>IF(Table1[[#This Row],[units_sold]]&lt;50,"Very Low",IF(Table1[[#This Row],[units_sold]]&lt;150,"Low",IF(Table1[[#This Row],[units_sold]]&lt;300,"Medium","High")))</f>
        <v>Medium</v>
      </c>
      <c r="M62" t="str">
        <f t="shared" si="1"/>
        <v>Normal</v>
      </c>
      <c r="N62">
        <f>(Table1[[#This Row],[price]]*0.7)</f>
        <v>371.41300000000001</v>
      </c>
    </row>
    <row r="63" spans="1:14" x14ac:dyDescent="0.35">
      <c r="A63" t="str">
        <f t="shared" si="0"/>
        <v>P062</v>
      </c>
      <c r="B63" t="s">
        <v>15</v>
      </c>
      <c r="C63" t="s">
        <v>7</v>
      </c>
      <c r="D63">
        <v>707.67</v>
      </c>
      <c r="E63">
        <v>378</v>
      </c>
      <c r="F63">
        <v>3.8</v>
      </c>
      <c r="G63" t="b">
        <v>1</v>
      </c>
      <c r="H63">
        <f>(Table1[[#This Row],[price]]*Table1[[#This Row],[units_sold]])</f>
        <v>267499.26</v>
      </c>
      <c r="I63" t="str">
        <f>IF(Table1[[#This Row],[in_stock]]=TRUE,"Available","Out of stock")</f>
        <v>Available</v>
      </c>
      <c r="J63" t="str">
        <f>IF(Table1[[#This Row],[rating]]&gt;=4,"High",IF(Table1[[#This Row],[rating]]&gt;=2.5,"Medium","Low"))</f>
        <v>Medium</v>
      </c>
      <c r="K63" t="str">
        <f>IF(Table1[[#This Row],[price]]&lt;200,"Budget",IF(Table1[[#This Row],[price]]&lt;600,"Mid-Range",IF(Table1[[#This Row],[price]]&lt;1000,"Premium","Luxury")))</f>
        <v>Premium</v>
      </c>
      <c r="L63" t="str">
        <f>IF(Table1[[#This Row],[units_sold]]&lt;50,"Very Low",IF(Table1[[#This Row],[units_sold]]&lt;150,"Low",IF(Table1[[#This Row],[units_sold]]&lt;300,"Medium","High")))</f>
        <v>High</v>
      </c>
      <c r="M63" t="str">
        <f t="shared" si="1"/>
        <v>Normal</v>
      </c>
      <c r="N63">
        <f>(Table1[[#This Row],[price]]*0.7)</f>
        <v>495.36899999999991</v>
      </c>
    </row>
    <row r="64" spans="1:14" x14ac:dyDescent="0.35">
      <c r="A64" t="str">
        <f t="shared" si="0"/>
        <v>P063</v>
      </c>
      <c r="B64" t="s">
        <v>11</v>
      </c>
      <c r="C64" t="s">
        <v>9</v>
      </c>
      <c r="D64">
        <v>941.21</v>
      </c>
      <c r="E64">
        <v>119</v>
      </c>
      <c r="F64">
        <v>2.7</v>
      </c>
      <c r="G64" t="b">
        <v>1</v>
      </c>
      <c r="H64">
        <f>(Table1[[#This Row],[price]]*Table1[[#This Row],[units_sold]])</f>
        <v>112003.99</v>
      </c>
      <c r="I64" t="str">
        <f>IF(Table1[[#This Row],[in_stock]]=TRUE,"Available","Out of stock")</f>
        <v>Available</v>
      </c>
      <c r="J64" t="str">
        <f>IF(Table1[[#This Row],[rating]]&gt;=4,"High",IF(Table1[[#This Row],[rating]]&gt;=2.5,"Medium","Low"))</f>
        <v>Medium</v>
      </c>
      <c r="K64" t="str">
        <f>IF(Table1[[#This Row],[price]]&lt;200,"Budget",IF(Table1[[#This Row],[price]]&lt;600,"Mid-Range",IF(Table1[[#This Row],[price]]&lt;1000,"Premium","Luxury")))</f>
        <v>Premium</v>
      </c>
      <c r="L64" t="str">
        <f>IF(Table1[[#This Row],[units_sold]]&lt;50,"Very Low",IF(Table1[[#This Row],[units_sold]]&lt;150,"Low",IF(Table1[[#This Row],[units_sold]]&lt;300,"Medium","High")))</f>
        <v>Low</v>
      </c>
      <c r="M64" t="str">
        <f t="shared" si="1"/>
        <v>Normal</v>
      </c>
      <c r="N64">
        <f>(Table1[[#This Row],[price]]*0.7)</f>
        <v>658.84699999999998</v>
      </c>
    </row>
    <row r="65" spans="1:14" x14ac:dyDescent="0.35">
      <c r="A65" t="str">
        <f t="shared" si="0"/>
        <v>P064</v>
      </c>
      <c r="B65" t="s">
        <v>10</v>
      </c>
      <c r="C65" t="s">
        <v>9</v>
      </c>
      <c r="D65">
        <v>572.80999999999995</v>
      </c>
      <c r="E65">
        <v>190</v>
      </c>
      <c r="F65">
        <v>3.7</v>
      </c>
      <c r="G65" t="b">
        <v>0</v>
      </c>
      <c r="H65">
        <f>(Table1[[#This Row],[price]]*Table1[[#This Row],[units_sold]])</f>
        <v>108833.9</v>
      </c>
      <c r="I65" t="str">
        <f>IF(Table1[[#This Row],[in_stock]]=TRUE,"Available","Out of stock")</f>
        <v>Out of stock</v>
      </c>
      <c r="J65" t="str">
        <f>IF(Table1[[#This Row],[rating]]&gt;=4,"High",IF(Table1[[#This Row],[rating]]&gt;=2.5,"Medium","Low"))</f>
        <v>Medium</v>
      </c>
      <c r="K65" t="str">
        <f>IF(Table1[[#This Row],[price]]&lt;200,"Budget",IF(Table1[[#This Row],[price]]&lt;600,"Mid-Range",IF(Table1[[#This Row],[price]]&lt;1000,"Premium","Luxury")))</f>
        <v>Mid-Range</v>
      </c>
      <c r="L65" t="str">
        <f>IF(Table1[[#This Row],[units_sold]]&lt;50,"Very Low",IF(Table1[[#This Row],[units_sold]]&lt;150,"Low",IF(Table1[[#This Row],[units_sold]]&lt;300,"Medium","High")))</f>
        <v>Medium</v>
      </c>
      <c r="M65" t="str">
        <f t="shared" si="1"/>
        <v>Normal</v>
      </c>
      <c r="N65">
        <f>(Table1[[#This Row],[price]]*0.7)</f>
        <v>400.96699999999993</v>
      </c>
    </row>
    <row r="66" spans="1:14" x14ac:dyDescent="0.35">
      <c r="A66" t="str">
        <f t="shared" ref="A66:A129" si="2">"P"&amp;TEXT(ROW()-1,"000")</f>
        <v>P065</v>
      </c>
      <c r="B66" t="s">
        <v>11</v>
      </c>
      <c r="C66" t="s">
        <v>9</v>
      </c>
      <c r="D66">
        <v>1256.48</v>
      </c>
      <c r="E66">
        <v>255</v>
      </c>
      <c r="F66">
        <v>2.1</v>
      </c>
      <c r="G66" t="b">
        <v>1</v>
      </c>
      <c r="H66">
        <f>(Table1[[#This Row],[price]]*Table1[[#This Row],[units_sold]])</f>
        <v>320402.40000000002</v>
      </c>
      <c r="I66" t="str">
        <f>IF(Table1[[#This Row],[in_stock]]=TRUE,"Available","Out of stock")</f>
        <v>Available</v>
      </c>
      <c r="J66" t="str">
        <f>IF(Table1[[#This Row],[rating]]&gt;=4,"High",IF(Table1[[#This Row],[rating]]&gt;=2.5,"Medium","Low"))</f>
        <v>Low</v>
      </c>
      <c r="K66" t="str">
        <f>IF(Table1[[#This Row],[price]]&lt;200,"Budget",IF(Table1[[#This Row],[price]]&lt;600,"Mid-Range",IF(Table1[[#This Row],[price]]&lt;1000,"Premium","Luxury")))</f>
        <v>Luxury</v>
      </c>
      <c r="L66" t="str">
        <f>IF(Table1[[#This Row],[units_sold]]&lt;50,"Very Low",IF(Table1[[#This Row],[units_sold]]&lt;150,"Low",IF(Table1[[#This Row],[units_sold]]&lt;300,"Medium","High")))</f>
        <v>Medium</v>
      </c>
      <c r="M66" t="str">
        <f t="shared" ref="M66:M129" si="3">IF(AND(E66&gt;300,G66=FALSE),"High Demand - Out of Stock","Normal")</f>
        <v>Normal</v>
      </c>
      <c r="N66">
        <f>(Table1[[#This Row],[price]]*0.7)</f>
        <v>879.53599999999994</v>
      </c>
    </row>
    <row r="67" spans="1:14" x14ac:dyDescent="0.35">
      <c r="A67" t="str">
        <f t="shared" si="2"/>
        <v>P066</v>
      </c>
      <c r="B67" t="s">
        <v>10</v>
      </c>
      <c r="C67" t="s">
        <v>9</v>
      </c>
      <c r="D67">
        <v>885.31</v>
      </c>
      <c r="E67">
        <v>370</v>
      </c>
      <c r="F67">
        <v>2.2000000000000002</v>
      </c>
      <c r="G67" t="b">
        <v>1</v>
      </c>
      <c r="H67">
        <f>(Table1[[#This Row],[price]]*Table1[[#This Row],[units_sold]])</f>
        <v>327564.69999999995</v>
      </c>
      <c r="I67" t="str">
        <f>IF(Table1[[#This Row],[in_stock]]=TRUE,"Available","Out of stock")</f>
        <v>Available</v>
      </c>
      <c r="J67" t="str">
        <f>IF(Table1[[#This Row],[rating]]&gt;=4,"High",IF(Table1[[#This Row],[rating]]&gt;=2.5,"Medium","Low"))</f>
        <v>Low</v>
      </c>
      <c r="K67" t="str">
        <f>IF(Table1[[#This Row],[price]]&lt;200,"Budget",IF(Table1[[#This Row],[price]]&lt;600,"Mid-Range",IF(Table1[[#This Row],[price]]&lt;1000,"Premium","Luxury")))</f>
        <v>Premium</v>
      </c>
      <c r="L67" t="str">
        <f>IF(Table1[[#This Row],[units_sold]]&lt;50,"Very Low",IF(Table1[[#This Row],[units_sold]]&lt;150,"Low",IF(Table1[[#This Row],[units_sold]]&lt;300,"Medium","High")))</f>
        <v>High</v>
      </c>
      <c r="M67" t="str">
        <f t="shared" si="3"/>
        <v>Normal</v>
      </c>
      <c r="N67">
        <f>(Table1[[#This Row],[price]]*0.7)</f>
        <v>619.71699999999987</v>
      </c>
    </row>
    <row r="68" spans="1:14" x14ac:dyDescent="0.35">
      <c r="A68" t="str">
        <f t="shared" si="2"/>
        <v>P067</v>
      </c>
      <c r="B68" t="s">
        <v>17</v>
      </c>
      <c r="C68" t="s">
        <v>7</v>
      </c>
      <c r="D68">
        <v>448.13</v>
      </c>
      <c r="E68">
        <v>266</v>
      </c>
      <c r="F68">
        <v>4.2</v>
      </c>
      <c r="G68" t="b">
        <v>1</v>
      </c>
      <c r="H68">
        <f>(Table1[[#This Row],[price]]*Table1[[#This Row],[units_sold]])</f>
        <v>119202.58</v>
      </c>
      <c r="I68" t="str">
        <f>IF(Table1[[#This Row],[in_stock]]=TRUE,"Available","Out of stock")</f>
        <v>Available</v>
      </c>
      <c r="J68" t="str">
        <f>IF(Table1[[#This Row],[rating]]&gt;=4,"High",IF(Table1[[#This Row],[rating]]&gt;=2.5,"Medium","Low"))</f>
        <v>High</v>
      </c>
      <c r="K68" t="str">
        <f>IF(Table1[[#This Row],[price]]&lt;200,"Budget",IF(Table1[[#This Row],[price]]&lt;600,"Mid-Range",IF(Table1[[#This Row],[price]]&lt;1000,"Premium","Luxury")))</f>
        <v>Mid-Range</v>
      </c>
      <c r="L68" t="str">
        <f>IF(Table1[[#This Row],[units_sold]]&lt;50,"Very Low",IF(Table1[[#This Row],[units_sold]]&lt;150,"Low",IF(Table1[[#This Row],[units_sold]]&lt;300,"Medium","High")))</f>
        <v>Medium</v>
      </c>
      <c r="M68" t="str">
        <f t="shared" si="3"/>
        <v>Normal</v>
      </c>
      <c r="N68">
        <f>(Table1[[#This Row],[price]]*0.7)</f>
        <v>313.69099999999997</v>
      </c>
    </row>
    <row r="69" spans="1:14" x14ac:dyDescent="0.35">
      <c r="A69" t="str">
        <f t="shared" si="2"/>
        <v>P068</v>
      </c>
      <c r="B69" t="s">
        <v>6</v>
      </c>
      <c r="C69" t="s">
        <v>7</v>
      </c>
      <c r="D69">
        <v>1073.95</v>
      </c>
      <c r="E69">
        <v>149</v>
      </c>
      <c r="F69">
        <v>2.8</v>
      </c>
      <c r="G69" t="b">
        <v>1</v>
      </c>
      <c r="H69">
        <f>(Table1[[#This Row],[price]]*Table1[[#This Row],[units_sold]])</f>
        <v>160018.55000000002</v>
      </c>
      <c r="I69" t="str">
        <f>IF(Table1[[#This Row],[in_stock]]=TRUE,"Available","Out of stock")</f>
        <v>Available</v>
      </c>
      <c r="J69" t="str">
        <f>IF(Table1[[#This Row],[rating]]&gt;=4,"High",IF(Table1[[#This Row],[rating]]&gt;=2.5,"Medium","Low"))</f>
        <v>Medium</v>
      </c>
      <c r="K69" t="str">
        <f>IF(Table1[[#This Row],[price]]&lt;200,"Budget",IF(Table1[[#This Row],[price]]&lt;600,"Mid-Range",IF(Table1[[#This Row],[price]]&lt;1000,"Premium","Luxury")))</f>
        <v>Luxury</v>
      </c>
      <c r="L69" t="str">
        <f>IF(Table1[[#This Row],[units_sold]]&lt;50,"Very Low",IF(Table1[[#This Row],[units_sold]]&lt;150,"Low",IF(Table1[[#This Row],[units_sold]]&lt;300,"Medium","High")))</f>
        <v>Low</v>
      </c>
      <c r="M69" t="str">
        <f t="shared" si="3"/>
        <v>Normal</v>
      </c>
      <c r="N69">
        <f>(Table1[[#This Row],[price]]*0.7)</f>
        <v>751.76499999999999</v>
      </c>
    </row>
    <row r="70" spans="1:14" x14ac:dyDescent="0.35">
      <c r="A70" t="str">
        <f t="shared" si="2"/>
        <v>P069</v>
      </c>
      <c r="B70" t="s">
        <v>14</v>
      </c>
      <c r="C70" t="s">
        <v>9</v>
      </c>
      <c r="D70">
        <v>796.2</v>
      </c>
      <c r="E70">
        <v>164</v>
      </c>
      <c r="F70">
        <v>4.2</v>
      </c>
      <c r="G70" t="b">
        <v>1</v>
      </c>
      <c r="H70">
        <f>(Table1[[#This Row],[price]]*Table1[[#This Row],[units_sold]])</f>
        <v>130576.8</v>
      </c>
      <c r="I70" t="str">
        <f>IF(Table1[[#This Row],[in_stock]]=TRUE,"Available","Out of stock")</f>
        <v>Available</v>
      </c>
      <c r="J70" t="str">
        <f>IF(Table1[[#This Row],[rating]]&gt;=4,"High",IF(Table1[[#This Row],[rating]]&gt;=2.5,"Medium","Low"))</f>
        <v>High</v>
      </c>
      <c r="K70" t="str">
        <f>IF(Table1[[#This Row],[price]]&lt;200,"Budget",IF(Table1[[#This Row],[price]]&lt;600,"Mid-Range",IF(Table1[[#This Row],[price]]&lt;1000,"Premium","Luxury")))</f>
        <v>Premium</v>
      </c>
      <c r="L70" t="str">
        <f>IF(Table1[[#This Row],[units_sold]]&lt;50,"Very Low",IF(Table1[[#This Row],[units_sold]]&lt;150,"Low",IF(Table1[[#This Row],[units_sold]]&lt;300,"Medium","High")))</f>
        <v>Medium</v>
      </c>
      <c r="M70" t="str">
        <f t="shared" si="3"/>
        <v>Normal</v>
      </c>
      <c r="N70">
        <f>(Table1[[#This Row],[price]]*0.7)</f>
        <v>557.34</v>
      </c>
    </row>
    <row r="71" spans="1:14" x14ac:dyDescent="0.35">
      <c r="A71" t="str">
        <f t="shared" si="2"/>
        <v>P070</v>
      </c>
      <c r="B71" t="s">
        <v>8</v>
      </c>
      <c r="C71" t="s">
        <v>9</v>
      </c>
      <c r="D71">
        <v>806.34</v>
      </c>
      <c r="E71">
        <v>140</v>
      </c>
      <c r="F71">
        <v>4.3</v>
      </c>
      <c r="G71" t="b">
        <v>1</v>
      </c>
      <c r="H71">
        <f>(Table1[[#This Row],[price]]*Table1[[#This Row],[units_sold]])</f>
        <v>112887.6</v>
      </c>
      <c r="I71" t="str">
        <f>IF(Table1[[#This Row],[in_stock]]=TRUE,"Available","Out of stock")</f>
        <v>Available</v>
      </c>
      <c r="J71" t="str">
        <f>IF(Table1[[#This Row],[rating]]&gt;=4,"High",IF(Table1[[#This Row],[rating]]&gt;=2.5,"Medium","Low"))</f>
        <v>High</v>
      </c>
      <c r="K71" t="str">
        <f>IF(Table1[[#This Row],[price]]&lt;200,"Budget",IF(Table1[[#This Row],[price]]&lt;600,"Mid-Range",IF(Table1[[#This Row],[price]]&lt;1000,"Premium","Luxury")))</f>
        <v>Premium</v>
      </c>
      <c r="L71" t="str">
        <f>IF(Table1[[#This Row],[units_sold]]&lt;50,"Very Low",IF(Table1[[#This Row],[units_sold]]&lt;150,"Low",IF(Table1[[#This Row],[units_sold]]&lt;300,"Medium","High")))</f>
        <v>Low</v>
      </c>
      <c r="M71" t="str">
        <f t="shared" si="3"/>
        <v>Normal</v>
      </c>
      <c r="N71">
        <f>(Table1[[#This Row],[price]]*0.7)</f>
        <v>564.43799999999999</v>
      </c>
    </row>
    <row r="72" spans="1:14" x14ac:dyDescent="0.35">
      <c r="A72" t="str">
        <f t="shared" si="2"/>
        <v>P071</v>
      </c>
      <c r="B72" t="s">
        <v>6</v>
      </c>
      <c r="C72" t="s">
        <v>7</v>
      </c>
      <c r="D72">
        <v>726.82</v>
      </c>
      <c r="E72">
        <v>347</v>
      </c>
      <c r="F72">
        <v>4.4000000000000004</v>
      </c>
      <c r="G72" t="b">
        <v>1</v>
      </c>
      <c r="H72">
        <f>(Table1[[#This Row],[price]]*Table1[[#This Row],[units_sold]])</f>
        <v>252206.54</v>
      </c>
      <c r="I72" t="str">
        <f>IF(Table1[[#This Row],[in_stock]]=TRUE,"Available","Out of stock")</f>
        <v>Available</v>
      </c>
      <c r="J72" t="str">
        <f>IF(Table1[[#This Row],[rating]]&gt;=4,"High",IF(Table1[[#This Row],[rating]]&gt;=2.5,"Medium","Low"))</f>
        <v>High</v>
      </c>
      <c r="K72" t="str">
        <f>IF(Table1[[#This Row],[price]]&lt;200,"Budget",IF(Table1[[#This Row],[price]]&lt;600,"Mid-Range",IF(Table1[[#This Row],[price]]&lt;1000,"Premium","Luxury")))</f>
        <v>Premium</v>
      </c>
      <c r="L72" t="str">
        <f>IF(Table1[[#This Row],[units_sold]]&lt;50,"Very Low",IF(Table1[[#This Row],[units_sold]]&lt;150,"Low",IF(Table1[[#This Row],[units_sold]]&lt;300,"Medium","High")))</f>
        <v>High</v>
      </c>
      <c r="M72" t="str">
        <f t="shared" si="3"/>
        <v>Normal</v>
      </c>
      <c r="N72">
        <f>(Table1[[#This Row],[price]]*0.7)</f>
        <v>508.774</v>
      </c>
    </row>
    <row r="73" spans="1:14" x14ac:dyDescent="0.35">
      <c r="A73" t="str">
        <f t="shared" si="2"/>
        <v>P072</v>
      </c>
      <c r="B73" t="s">
        <v>12</v>
      </c>
      <c r="C73" t="s">
        <v>7</v>
      </c>
      <c r="D73">
        <v>750.55</v>
      </c>
      <c r="E73">
        <v>488</v>
      </c>
      <c r="F73">
        <v>4.7</v>
      </c>
      <c r="G73" t="b">
        <v>1</v>
      </c>
      <c r="H73">
        <f>(Table1[[#This Row],[price]]*Table1[[#This Row],[units_sold]])</f>
        <v>366268.39999999997</v>
      </c>
      <c r="I73" t="str">
        <f>IF(Table1[[#This Row],[in_stock]]=TRUE,"Available","Out of stock")</f>
        <v>Available</v>
      </c>
      <c r="J73" t="str">
        <f>IF(Table1[[#This Row],[rating]]&gt;=4,"High",IF(Table1[[#This Row],[rating]]&gt;=2.5,"Medium","Low"))</f>
        <v>High</v>
      </c>
      <c r="K73" t="str">
        <f>IF(Table1[[#This Row],[price]]&lt;200,"Budget",IF(Table1[[#This Row],[price]]&lt;600,"Mid-Range",IF(Table1[[#This Row],[price]]&lt;1000,"Premium","Luxury")))</f>
        <v>Premium</v>
      </c>
      <c r="L73" t="str">
        <f>IF(Table1[[#This Row],[units_sold]]&lt;50,"Very Low",IF(Table1[[#This Row],[units_sold]]&lt;150,"Low",IF(Table1[[#This Row],[units_sold]]&lt;300,"Medium","High")))</f>
        <v>High</v>
      </c>
      <c r="M73" t="str">
        <f t="shared" si="3"/>
        <v>Normal</v>
      </c>
      <c r="N73">
        <f>(Table1[[#This Row],[price]]*0.7)</f>
        <v>525.38499999999999</v>
      </c>
    </row>
    <row r="74" spans="1:14" x14ac:dyDescent="0.35">
      <c r="A74" t="str">
        <f t="shared" si="2"/>
        <v>P073</v>
      </c>
      <c r="B74" t="s">
        <v>11</v>
      </c>
      <c r="C74" t="s">
        <v>9</v>
      </c>
      <c r="D74">
        <v>1150.3800000000001</v>
      </c>
      <c r="E74">
        <v>258</v>
      </c>
      <c r="F74">
        <v>2.7</v>
      </c>
      <c r="G74" t="b">
        <v>1</v>
      </c>
      <c r="H74">
        <f>(Table1[[#This Row],[price]]*Table1[[#This Row],[units_sold]])</f>
        <v>296798.04000000004</v>
      </c>
      <c r="I74" t="str">
        <f>IF(Table1[[#This Row],[in_stock]]=TRUE,"Available","Out of stock")</f>
        <v>Available</v>
      </c>
      <c r="J74" t="str">
        <f>IF(Table1[[#This Row],[rating]]&gt;=4,"High",IF(Table1[[#This Row],[rating]]&gt;=2.5,"Medium","Low"))</f>
        <v>Medium</v>
      </c>
      <c r="K74" t="str">
        <f>IF(Table1[[#This Row],[price]]&lt;200,"Budget",IF(Table1[[#This Row],[price]]&lt;600,"Mid-Range",IF(Table1[[#This Row],[price]]&lt;1000,"Premium","Luxury")))</f>
        <v>Luxury</v>
      </c>
      <c r="L74" t="str">
        <f>IF(Table1[[#This Row],[units_sold]]&lt;50,"Very Low",IF(Table1[[#This Row],[units_sold]]&lt;150,"Low",IF(Table1[[#This Row],[units_sold]]&lt;300,"Medium","High")))</f>
        <v>Medium</v>
      </c>
      <c r="M74" t="str">
        <f t="shared" si="3"/>
        <v>Normal</v>
      </c>
      <c r="N74">
        <f>(Table1[[#This Row],[price]]*0.7)</f>
        <v>805.26600000000008</v>
      </c>
    </row>
    <row r="75" spans="1:14" x14ac:dyDescent="0.35">
      <c r="A75" t="str">
        <f t="shared" si="2"/>
        <v>P074</v>
      </c>
      <c r="B75" t="s">
        <v>12</v>
      </c>
      <c r="C75" t="s">
        <v>7</v>
      </c>
      <c r="D75">
        <v>163.44</v>
      </c>
      <c r="E75">
        <v>374</v>
      </c>
      <c r="F75">
        <v>2.2999999999999998</v>
      </c>
      <c r="G75" t="b">
        <v>1</v>
      </c>
      <c r="H75">
        <f>(Table1[[#This Row],[price]]*Table1[[#This Row],[units_sold]])</f>
        <v>61126.559999999998</v>
      </c>
      <c r="I75" t="str">
        <f>IF(Table1[[#This Row],[in_stock]]=TRUE,"Available","Out of stock")</f>
        <v>Available</v>
      </c>
      <c r="J75" t="str">
        <f>IF(Table1[[#This Row],[rating]]&gt;=4,"High",IF(Table1[[#This Row],[rating]]&gt;=2.5,"Medium","Low"))</f>
        <v>Low</v>
      </c>
      <c r="K75" t="str">
        <f>IF(Table1[[#This Row],[price]]&lt;200,"Budget",IF(Table1[[#This Row],[price]]&lt;600,"Mid-Range",IF(Table1[[#This Row],[price]]&lt;1000,"Premium","Luxury")))</f>
        <v>Budget</v>
      </c>
      <c r="L75" t="str">
        <f>IF(Table1[[#This Row],[units_sold]]&lt;50,"Very Low",IF(Table1[[#This Row],[units_sold]]&lt;150,"Low",IF(Table1[[#This Row],[units_sold]]&lt;300,"Medium","High")))</f>
        <v>High</v>
      </c>
      <c r="M75" t="str">
        <f t="shared" si="3"/>
        <v>Normal</v>
      </c>
      <c r="N75">
        <f>(Table1[[#This Row],[price]]*0.7)</f>
        <v>114.40799999999999</v>
      </c>
    </row>
    <row r="76" spans="1:14" x14ac:dyDescent="0.35">
      <c r="A76" t="str">
        <f t="shared" si="2"/>
        <v>P075</v>
      </c>
      <c r="B76" t="s">
        <v>6</v>
      </c>
      <c r="C76" t="s">
        <v>7</v>
      </c>
      <c r="D76">
        <v>508.2</v>
      </c>
      <c r="E76">
        <v>269</v>
      </c>
      <c r="F76">
        <v>3.3</v>
      </c>
      <c r="G76" t="b">
        <v>0</v>
      </c>
      <c r="H76">
        <f>(Table1[[#This Row],[price]]*Table1[[#This Row],[units_sold]])</f>
        <v>136705.79999999999</v>
      </c>
      <c r="I76" t="str">
        <f>IF(Table1[[#This Row],[in_stock]]=TRUE,"Available","Out of stock")</f>
        <v>Out of stock</v>
      </c>
      <c r="J76" t="str">
        <f>IF(Table1[[#This Row],[rating]]&gt;=4,"High",IF(Table1[[#This Row],[rating]]&gt;=2.5,"Medium","Low"))</f>
        <v>Medium</v>
      </c>
      <c r="K76" t="str">
        <f>IF(Table1[[#This Row],[price]]&lt;200,"Budget",IF(Table1[[#This Row],[price]]&lt;600,"Mid-Range",IF(Table1[[#This Row],[price]]&lt;1000,"Premium","Luxury")))</f>
        <v>Mid-Range</v>
      </c>
      <c r="L76" t="str">
        <f>IF(Table1[[#This Row],[units_sold]]&lt;50,"Very Low",IF(Table1[[#This Row],[units_sold]]&lt;150,"Low",IF(Table1[[#This Row],[units_sold]]&lt;300,"Medium","High")))</f>
        <v>Medium</v>
      </c>
      <c r="M76" t="str">
        <f t="shared" si="3"/>
        <v>Normal</v>
      </c>
      <c r="N76">
        <f>(Table1[[#This Row],[price]]*0.7)</f>
        <v>355.73999999999995</v>
      </c>
    </row>
    <row r="77" spans="1:14" x14ac:dyDescent="0.35">
      <c r="A77" t="str">
        <f t="shared" si="2"/>
        <v>P076</v>
      </c>
      <c r="B77" t="s">
        <v>10</v>
      </c>
      <c r="C77" t="s">
        <v>9</v>
      </c>
      <c r="D77">
        <v>122.5</v>
      </c>
      <c r="E77">
        <v>181</v>
      </c>
      <c r="F77">
        <v>2.5</v>
      </c>
      <c r="G77" t="b">
        <v>1</v>
      </c>
      <c r="H77">
        <f>(Table1[[#This Row],[price]]*Table1[[#This Row],[units_sold]])</f>
        <v>22172.5</v>
      </c>
      <c r="I77" t="str">
        <f>IF(Table1[[#This Row],[in_stock]]=TRUE,"Available","Out of stock")</f>
        <v>Available</v>
      </c>
      <c r="J77" t="str">
        <f>IF(Table1[[#This Row],[rating]]&gt;=4,"High",IF(Table1[[#This Row],[rating]]&gt;=2.5,"Medium","Low"))</f>
        <v>Medium</v>
      </c>
      <c r="K77" t="str">
        <f>IF(Table1[[#This Row],[price]]&lt;200,"Budget",IF(Table1[[#This Row],[price]]&lt;600,"Mid-Range",IF(Table1[[#This Row],[price]]&lt;1000,"Premium","Luxury")))</f>
        <v>Budget</v>
      </c>
      <c r="L77" t="str">
        <f>IF(Table1[[#This Row],[units_sold]]&lt;50,"Very Low",IF(Table1[[#This Row],[units_sold]]&lt;150,"Low",IF(Table1[[#This Row],[units_sold]]&lt;300,"Medium","High")))</f>
        <v>Medium</v>
      </c>
      <c r="M77" t="str">
        <f t="shared" si="3"/>
        <v>Normal</v>
      </c>
      <c r="N77">
        <f>(Table1[[#This Row],[price]]*0.7)</f>
        <v>85.75</v>
      </c>
    </row>
    <row r="78" spans="1:14" x14ac:dyDescent="0.35">
      <c r="A78" t="str">
        <f t="shared" si="2"/>
        <v>P077</v>
      </c>
      <c r="B78" t="s">
        <v>8</v>
      </c>
      <c r="C78" t="s">
        <v>9</v>
      </c>
      <c r="D78">
        <v>1132.3399999999999</v>
      </c>
      <c r="E78">
        <v>160</v>
      </c>
      <c r="F78">
        <v>3.4</v>
      </c>
      <c r="G78" t="b">
        <v>1</v>
      </c>
      <c r="H78">
        <f>(Table1[[#This Row],[price]]*Table1[[#This Row],[units_sold]])</f>
        <v>181174.39999999999</v>
      </c>
      <c r="I78" t="str">
        <f>IF(Table1[[#This Row],[in_stock]]=TRUE,"Available","Out of stock")</f>
        <v>Available</v>
      </c>
      <c r="J78" t="str">
        <f>IF(Table1[[#This Row],[rating]]&gt;=4,"High",IF(Table1[[#This Row],[rating]]&gt;=2.5,"Medium","Low"))</f>
        <v>Medium</v>
      </c>
      <c r="K78" t="str">
        <f>IF(Table1[[#This Row],[price]]&lt;200,"Budget",IF(Table1[[#This Row],[price]]&lt;600,"Mid-Range",IF(Table1[[#This Row],[price]]&lt;1000,"Premium","Luxury")))</f>
        <v>Luxury</v>
      </c>
      <c r="L78" t="str">
        <f>IF(Table1[[#This Row],[units_sold]]&lt;50,"Very Low",IF(Table1[[#This Row],[units_sold]]&lt;150,"Low",IF(Table1[[#This Row],[units_sold]]&lt;300,"Medium","High")))</f>
        <v>Medium</v>
      </c>
      <c r="M78" t="str">
        <f t="shared" si="3"/>
        <v>Normal</v>
      </c>
      <c r="N78">
        <f>(Table1[[#This Row],[price]]*0.7)</f>
        <v>792.63799999999992</v>
      </c>
    </row>
    <row r="79" spans="1:14" x14ac:dyDescent="0.35">
      <c r="A79" t="str">
        <f t="shared" si="2"/>
        <v>P078</v>
      </c>
      <c r="B79" t="s">
        <v>8</v>
      </c>
      <c r="C79" t="s">
        <v>9</v>
      </c>
      <c r="D79">
        <v>415.73</v>
      </c>
      <c r="E79">
        <v>351</v>
      </c>
      <c r="F79">
        <v>3.8</v>
      </c>
      <c r="G79" t="b">
        <v>1</v>
      </c>
      <c r="H79">
        <f>(Table1[[#This Row],[price]]*Table1[[#This Row],[units_sold]])</f>
        <v>145921.23000000001</v>
      </c>
      <c r="I79" t="str">
        <f>IF(Table1[[#This Row],[in_stock]]=TRUE,"Available","Out of stock")</f>
        <v>Available</v>
      </c>
      <c r="J79" t="str">
        <f>IF(Table1[[#This Row],[rating]]&gt;=4,"High",IF(Table1[[#This Row],[rating]]&gt;=2.5,"Medium","Low"))</f>
        <v>Medium</v>
      </c>
      <c r="K79" t="str">
        <f>IF(Table1[[#This Row],[price]]&lt;200,"Budget",IF(Table1[[#This Row],[price]]&lt;600,"Mid-Range",IF(Table1[[#This Row],[price]]&lt;1000,"Premium","Luxury")))</f>
        <v>Mid-Range</v>
      </c>
      <c r="L79" t="str">
        <f>IF(Table1[[#This Row],[units_sold]]&lt;50,"Very Low",IF(Table1[[#This Row],[units_sold]]&lt;150,"Low",IF(Table1[[#This Row],[units_sold]]&lt;300,"Medium","High")))</f>
        <v>High</v>
      </c>
      <c r="M79" t="str">
        <f t="shared" si="3"/>
        <v>Normal</v>
      </c>
      <c r="N79">
        <f>(Table1[[#This Row],[price]]*0.7)</f>
        <v>291.01099999999997</v>
      </c>
    </row>
    <row r="80" spans="1:14" x14ac:dyDescent="0.35">
      <c r="A80" t="str">
        <f t="shared" si="2"/>
        <v>P079</v>
      </c>
      <c r="B80" t="s">
        <v>16</v>
      </c>
      <c r="C80" t="s">
        <v>9</v>
      </c>
      <c r="D80">
        <v>1347.17</v>
      </c>
      <c r="E80">
        <v>400</v>
      </c>
      <c r="F80">
        <v>3.8</v>
      </c>
      <c r="G80" t="b">
        <v>1</v>
      </c>
      <c r="H80">
        <f>(Table1[[#This Row],[price]]*Table1[[#This Row],[units_sold]])</f>
        <v>538868</v>
      </c>
      <c r="I80" t="str">
        <f>IF(Table1[[#This Row],[in_stock]]=TRUE,"Available","Out of stock")</f>
        <v>Available</v>
      </c>
      <c r="J80" t="str">
        <f>IF(Table1[[#This Row],[rating]]&gt;=4,"High",IF(Table1[[#This Row],[rating]]&gt;=2.5,"Medium","Low"))</f>
        <v>Medium</v>
      </c>
      <c r="K80" t="str">
        <f>IF(Table1[[#This Row],[price]]&lt;200,"Budget",IF(Table1[[#This Row],[price]]&lt;600,"Mid-Range",IF(Table1[[#This Row],[price]]&lt;1000,"Premium","Luxury")))</f>
        <v>Luxury</v>
      </c>
      <c r="L80" t="str">
        <f>IF(Table1[[#This Row],[units_sold]]&lt;50,"Very Low",IF(Table1[[#This Row],[units_sold]]&lt;150,"Low",IF(Table1[[#This Row],[units_sold]]&lt;300,"Medium","High")))</f>
        <v>High</v>
      </c>
      <c r="M80" t="str">
        <f t="shared" si="3"/>
        <v>Normal</v>
      </c>
      <c r="N80">
        <f>(Table1[[#This Row],[price]]*0.7)</f>
        <v>943.01900000000001</v>
      </c>
    </row>
    <row r="81" spans="1:14" x14ac:dyDescent="0.35">
      <c r="A81" t="str">
        <f t="shared" si="2"/>
        <v>P080</v>
      </c>
      <c r="B81" t="s">
        <v>8</v>
      </c>
      <c r="C81" t="s">
        <v>9</v>
      </c>
      <c r="D81">
        <v>794.6</v>
      </c>
      <c r="E81">
        <v>288</v>
      </c>
      <c r="F81">
        <v>2.5</v>
      </c>
      <c r="G81" t="b">
        <v>1</v>
      </c>
      <c r="H81">
        <f>(Table1[[#This Row],[price]]*Table1[[#This Row],[units_sold]])</f>
        <v>228844.80000000002</v>
      </c>
      <c r="I81" t="str">
        <f>IF(Table1[[#This Row],[in_stock]]=TRUE,"Available","Out of stock")</f>
        <v>Available</v>
      </c>
      <c r="J81" t="str">
        <f>IF(Table1[[#This Row],[rating]]&gt;=4,"High",IF(Table1[[#This Row],[rating]]&gt;=2.5,"Medium","Low"))</f>
        <v>Medium</v>
      </c>
      <c r="K81" t="str">
        <f>IF(Table1[[#This Row],[price]]&lt;200,"Budget",IF(Table1[[#This Row],[price]]&lt;600,"Mid-Range",IF(Table1[[#This Row],[price]]&lt;1000,"Premium","Luxury")))</f>
        <v>Premium</v>
      </c>
      <c r="L81" t="str">
        <f>IF(Table1[[#This Row],[units_sold]]&lt;50,"Very Low",IF(Table1[[#This Row],[units_sold]]&lt;150,"Low",IF(Table1[[#This Row],[units_sold]]&lt;300,"Medium","High")))</f>
        <v>Medium</v>
      </c>
      <c r="M81" t="str">
        <f t="shared" si="3"/>
        <v>Normal</v>
      </c>
      <c r="N81">
        <f>(Table1[[#This Row],[price]]*0.7)</f>
        <v>556.22</v>
      </c>
    </row>
    <row r="82" spans="1:14" x14ac:dyDescent="0.35">
      <c r="A82" t="str">
        <f t="shared" si="2"/>
        <v>P081</v>
      </c>
      <c r="B82" t="s">
        <v>14</v>
      </c>
      <c r="C82" t="s">
        <v>9</v>
      </c>
      <c r="D82">
        <v>1203.1199999999999</v>
      </c>
      <c r="E82">
        <v>288</v>
      </c>
      <c r="F82">
        <v>1.7</v>
      </c>
      <c r="G82" t="b">
        <v>0</v>
      </c>
      <c r="H82">
        <f>(Table1[[#This Row],[price]]*Table1[[#This Row],[units_sold]])</f>
        <v>346498.55999999994</v>
      </c>
      <c r="I82" t="str">
        <f>IF(Table1[[#This Row],[in_stock]]=TRUE,"Available","Out of stock")</f>
        <v>Out of stock</v>
      </c>
      <c r="J82" t="str">
        <f>IF(Table1[[#This Row],[rating]]&gt;=4,"High",IF(Table1[[#This Row],[rating]]&gt;=2.5,"Medium","Low"))</f>
        <v>Low</v>
      </c>
      <c r="K82" t="str">
        <f>IF(Table1[[#This Row],[price]]&lt;200,"Budget",IF(Table1[[#This Row],[price]]&lt;600,"Mid-Range",IF(Table1[[#This Row],[price]]&lt;1000,"Premium","Luxury")))</f>
        <v>Luxury</v>
      </c>
      <c r="L82" t="str">
        <f>IF(Table1[[#This Row],[units_sold]]&lt;50,"Very Low",IF(Table1[[#This Row],[units_sold]]&lt;150,"Low",IF(Table1[[#This Row],[units_sold]]&lt;300,"Medium","High")))</f>
        <v>Medium</v>
      </c>
      <c r="M82" t="str">
        <f t="shared" si="3"/>
        <v>Normal</v>
      </c>
      <c r="N82">
        <f>(Table1[[#This Row],[price]]*0.7)</f>
        <v>842.18399999999986</v>
      </c>
    </row>
    <row r="83" spans="1:14" x14ac:dyDescent="0.35">
      <c r="A83" t="str">
        <f t="shared" si="2"/>
        <v>P082</v>
      </c>
      <c r="B83" t="s">
        <v>8</v>
      </c>
      <c r="C83" t="s">
        <v>9</v>
      </c>
      <c r="D83">
        <v>1468.61</v>
      </c>
      <c r="E83">
        <v>380</v>
      </c>
      <c r="F83">
        <v>2.7</v>
      </c>
      <c r="G83" t="b">
        <v>0</v>
      </c>
      <c r="H83">
        <f>(Table1[[#This Row],[price]]*Table1[[#This Row],[units_sold]])</f>
        <v>558071.79999999993</v>
      </c>
      <c r="I83" t="str">
        <f>IF(Table1[[#This Row],[in_stock]]=TRUE,"Available","Out of stock")</f>
        <v>Out of stock</v>
      </c>
      <c r="J83" t="str">
        <f>IF(Table1[[#This Row],[rating]]&gt;=4,"High",IF(Table1[[#This Row],[rating]]&gt;=2.5,"Medium","Low"))</f>
        <v>Medium</v>
      </c>
      <c r="K83" t="str">
        <f>IF(Table1[[#This Row],[price]]&lt;200,"Budget",IF(Table1[[#This Row],[price]]&lt;600,"Mid-Range",IF(Table1[[#This Row],[price]]&lt;1000,"Premium","Luxury")))</f>
        <v>Luxury</v>
      </c>
      <c r="L83" t="str">
        <f>IF(Table1[[#This Row],[units_sold]]&lt;50,"Very Low",IF(Table1[[#This Row],[units_sold]]&lt;150,"Low",IF(Table1[[#This Row],[units_sold]]&lt;300,"Medium","High")))</f>
        <v>High</v>
      </c>
      <c r="M83" t="str">
        <f t="shared" si="3"/>
        <v>High Demand - Out of Stock</v>
      </c>
      <c r="N83">
        <f>(Table1[[#This Row],[price]]*0.7)</f>
        <v>1028.0269999999998</v>
      </c>
    </row>
    <row r="84" spans="1:14" x14ac:dyDescent="0.35">
      <c r="A84" t="str">
        <f t="shared" si="2"/>
        <v>P083</v>
      </c>
      <c r="B84" t="s">
        <v>6</v>
      </c>
      <c r="C84" t="s">
        <v>7</v>
      </c>
      <c r="D84">
        <v>1261.29</v>
      </c>
      <c r="E84">
        <v>226</v>
      </c>
      <c r="F84">
        <v>1.6</v>
      </c>
      <c r="G84" t="b">
        <v>1</v>
      </c>
      <c r="H84">
        <f>(Table1[[#This Row],[price]]*Table1[[#This Row],[units_sold]])</f>
        <v>285051.53999999998</v>
      </c>
      <c r="I84" t="str">
        <f>IF(Table1[[#This Row],[in_stock]]=TRUE,"Available","Out of stock")</f>
        <v>Available</v>
      </c>
      <c r="J84" t="str">
        <f>IF(Table1[[#This Row],[rating]]&gt;=4,"High",IF(Table1[[#This Row],[rating]]&gt;=2.5,"Medium","Low"))</f>
        <v>Low</v>
      </c>
      <c r="K84" t="str">
        <f>IF(Table1[[#This Row],[price]]&lt;200,"Budget",IF(Table1[[#This Row],[price]]&lt;600,"Mid-Range",IF(Table1[[#This Row],[price]]&lt;1000,"Premium","Luxury")))</f>
        <v>Luxury</v>
      </c>
      <c r="L84" t="str">
        <f>IF(Table1[[#This Row],[units_sold]]&lt;50,"Very Low",IF(Table1[[#This Row],[units_sold]]&lt;150,"Low",IF(Table1[[#This Row],[units_sold]]&lt;300,"Medium","High")))</f>
        <v>Medium</v>
      </c>
      <c r="M84" t="str">
        <f t="shared" si="3"/>
        <v>Normal</v>
      </c>
      <c r="N84">
        <f>(Table1[[#This Row],[price]]*0.7)</f>
        <v>882.90299999999991</v>
      </c>
    </row>
    <row r="85" spans="1:14" x14ac:dyDescent="0.35">
      <c r="A85" t="str">
        <f t="shared" si="2"/>
        <v>P084</v>
      </c>
      <c r="B85" t="s">
        <v>16</v>
      </c>
      <c r="C85" t="s">
        <v>9</v>
      </c>
      <c r="D85">
        <v>1301.82</v>
      </c>
      <c r="E85">
        <v>11</v>
      </c>
      <c r="F85">
        <v>4.5999999999999996</v>
      </c>
      <c r="G85" t="b">
        <v>0</v>
      </c>
      <c r="H85">
        <f>(Table1[[#This Row],[price]]*Table1[[#This Row],[units_sold]])</f>
        <v>14320.019999999999</v>
      </c>
      <c r="I85" t="str">
        <f>IF(Table1[[#This Row],[in_stock]]=TRUE,"Available","Out of stock")</f>
        <v>Out of stock</v>
      </c>
      <c r="J85" t="str">
        <f>IF(Table1[[#This Row],[rating]]&gt;=4,"High",IF(Table1[[#This Row],[rating]]&gt;=2.5,"Medium","Low"))</f>
        <v>High</v>
      </c>
      <c r="K85" t="str">
        <f>IF(Table1[[#This Row],[price]]&lt;200,"Budget",IF(Table1[[#This Row],[price]]&lt;600,"Mid-Range",IF(Table1[[#This Row],[price]]&lt;1000,"Premium","Luxury")))</f>
        <v>Luxury</v>
      </c>
      <c r="L85" t="str">
        <f>IF(Table1[[#This Row],[units_sold]]&lt;50,"Very Low",IF(Table1[[#This Row],[units_sold]]&lt;150,"Low",IF(Table1[[#This Row],[units_sold]]&lt;300,"Medium","High")))</f>
        <v>Very Low</v>
      </c>
      <c r="M85" t="str">
        <f t="shared" si="3"/>
        <v>Normal</v>
      </c>
      <c r="N85">
        <f>(Table1[[#This Row],[price]]*0.7)</f>
        <v>911.27399999999989</v>
      </c>
    </row>
    <row r="86" spans="1:14" x14ac:dyDescent="0.35">
      <c r="A86" t="str">
        <f t="shared" si="2"/>
        <v>P085</v>
      </c>
      <c r="B86" t="s">
        <v>6</v>
      </c>
      <c r="C86" t="s">
        <v>7</v>
      </c>
      <c r="D86">
        <v>617.9</v>
      </c>
      <c r="E86">
        <v>10</v>
      </c>
      <c r="F86">
        <v>2.4</v>
      </c>
      <c r="G86" t="b">
        <v>0</v>
      </c>
      <c r="H86">
        <f>(Table1[[#This Row],[price]]*Table1[[#This Row],[units_sold]])</f>
        <v>6179</v>
      </c>
      <c r="I86" t="str">
        <f>IF(Table1[[#This Row],[in_stock]]=TRUE,"Available","Out of stock")</f>
        <v>Out of stock</v>
      </c>
      <c r="J86" t="str">
        <f>IF(Table1[[#This Row],[rating]]&gt;=4,"High",IF(Table1[[#This Row],[rating]]&gt;=2.5,"Medium","Low"))</f>
        <v>Low</v>
      </c>
      <c r="K86" t="str">
        <f>IF(Table1[[#This Row],[price]]&lt;200,"Budget",IF(Table1[[#This Row],[price]]&lt;600,"Mid-Range",IF(Table1[[#This Row],[price]]&lt;1000,"Premium","Luxury")))</f>
        <v>Premium</v>
      </c>
      <c r="L86" t="str">
        <f>IF(Table1[[#This Row],[units_sold]]&lt;50,"Very Low",IF(Table1[[#This Row],[units_sold]]&lt;150,"Low",IF(Table1[[#This Row],[units_sold]]&lt;300,"Medium","High")))</f>
        <v>Very Low</v>
      </c>
      <c r="M86" t="str">
        <f t="shared" si="3"/>
        <v>Normal</v>
      </c>
      <c r="N86">
        <f>(Table1[[#This Row],[price]]*0.7)</f>
        <v>432.53</v>
      </c>
    </row>
    <row r="87" spans="1:14" x14ac:dyDescent="0.35">
      <c r="A87" t="str">
        <f t="shared" si="2"/>
        <v>P086</v>
      </c>
      <c r="B87" t="s">
        <v>6</v>
      </c>
      <c r="C87" t="s">
        <v>7</v>
      </c>
      <c r="D87">
        <v>832.07</v>
      </c>
      <c r="E87">
        <v>271</v>
      </c>
      <c r="F87">
        <v>1.6</v>
      </c>
      <c r="G87" t="b">
        <v>0</v>
      </c>
      <c r="H87">
        <f>(Table1[[#This Row],[price]]*Table1[[#This Row],[units_sold]])</f>
        <v>225490.97</v>
      </c>
      <c r="I87" t="str">
        <f>IF(Table1[[#This Row],[in_stock]]=TRUE,"Available","Out of stock")</f>
        <v>Out of stock</v>
      </c>
      <c r="J87" t="str">
        <f>IF(Table1[[#This Row],[rating]]&gt;=4,"High",IF(Table1[[#This Row],[rating]]&gt;=2.5,"Medium","Low"))</f>
        <v>Low</v>
      </c>
      <c r="K87" t="str">
        <f>IF(Table1[[#This Row],[price]]&lt;200,"Budget",IF(Table1[[#This Row],[price]]&lt;600,"Mid-Range",IF(Table1[[#This Row],[price]]&lt;1000,"Premium","Luxury")))</f>
        <v>Premium</v>
      </c>
      <c r="L87" t="str">
        <f>IF(Table1[[#This Row],[units_sold]]&lt;50,"Very Low",IF(Table1[[#This Row],[units_sold]]&lt;150,"Low",IF(Table1[[#This Row],[units_sold]]&lt;300,"Medium","High")))</f>
        <v>Medium</v>
      </c>
      <c r="M87" t="str">
        <f t="shared" si="3"/>
        <v>Normal</v>
      </c>
      <c r="N87">
        <f>(Table1[[#This Row],[price]]*0.7)</f>
        <v>582.44899999999996</v>
      </c>
    </row>
    <row r="88" spans="1:14" x14ac:dyDescent="0.35">
      <c r="A88" t="str">
        <f t="shared" si="2"/>
        <v>P087</v>
      </c>
      <c r="B88" t="s">
        <v>13</v>
      </c>
      <c r="C88" t="s">
        <v>9</v>
      </c>
      <c r="D88">
        <v>388.29</v>
      </c>
      <c r="E88">
        <v>273</v>
      </c>
      <c r="F88">
        <v>1.1000000000000001</v>
      </c>
      <c r="G88" t="b">
        <v>0</v>
      </c>
      <c r="H88">
        <f>(Table1[[#This Row],[price]]*Table1[[#This Row],[units_sold]])</f>
        <v>106003.17000000001</v>
      </c>
      <c r="I88" t="str">
        <f>IF(Table1[[#This Row],[in_stock]]=TRUE,"Available","Out of stock")</f>
        <v>Out of stock</v>
      </c>
      <c r="J88" t="str">
        <f>IF(Table1[[#This Row],[rating]]&gt;=4,"High",IF(Table1[[#This Row],[rating]]&gt;=2.5,"Medium","Low"))</f>
        <v>Low</v>
      </c>
      <c r="K88" t="str">
        <f>IF(Table1[[#This Row],[price]]&lt;200,"Budget",IF(Table1[[#This Row],[price]]&lt;600,"Mid-Range",IF(Table1[[#This Row],[price]]&lt;1000,"Premium","Luxury")))</f>
        <v>Mid-Range</v>
      </c>
      <c r="L88" t="str">
        <f>IF(Table1[[#This Row],[units_sold]]&lt;50,"Very Low",IF(Table1[[#This Row],[units_sold]]&lt;150,"Low",IF(Table1[[#This Row],[units_sold]]&lt;300,"Medium","High")))</f>
        <v>Medium</v>
      </c>
      <c r="M88" t="str">
        <f t="shared" si="3"/>
        <v>Normal</v>
      </c>
      <c r="N88">
        <f>(Table1[[#This Row],[price]]*0.7)</f>
        <v>271.803</v>
      </c>
    </row>
    <row r="89" spans="1:14" x14ac:dyDescent="0.35">
      <c r="A89" t="str">
        <f t="shared" si="2"/>
        <v>P088</v>
      </c>
      <c r="B89" t="s">
        <v>16</v>
      </c>
      <c r="C89" t="s">
        <v>9</v>
      </c>
      <c r="D89">
        <v>302.20999999999998</v>
      </c>
      <c r="E89">
        <v>424</v>
      </c>
      <c r="F89">
        <v>3.6</v>
      </c>
      <c r="G89" t="b">
        <v>1</v>
      </c>
      <c r="H89">
        <f>(Table1[[#This Row],[price]]*Table1[[#This Row],[units_sold]])</f>
        <v>128137.04</v>
      </c>
      <c r="I89" t="str">
        <f>IF(Table1[[#This Row],[in_stock]]=TRUE,"Available","Out of stock")</f>
        <v>Available</v>
      </c>
      <c r="J89" t="str">
        <f>IF(Table1[[#This Row],[rating]]&gt;=4,"High",IF(Table1[[#This Row],[rating]]&gt;=2.5,"Medium","Low"))</f>
        <v>Medium</v>
      </c>
      <c r="K89" t="str">
        <f>IF(Table1[[#This Row],[price]]&lt;200,"Budget",IF(Table1[[#This Row],[price]]&lt;600,"Mid-Range",IF(Table1[[#This Row],[price]]&lt;1000,"Premium","Luxury")))</f>
        <v>Mid-Range</v>
      </c>
      <c r="L89" t="str">
        <f>IF(Table1[[#This Row],[units_sold]]&lt;50,"Very Low",IF(Table1[[#This Row],[units_sold]]&lt;150,"Low",IF(Table1[[#This Row],[units_sold]]&lt;300,"Medium","High")))</f>
        <v>High</v>
      </c>
      <c r="M89" t="str">
        <f t="shared" si="3"/>
        <v>Normal</v>
      </c>
      <c r="N89">
        <f>(Table1[[#This Row],[price]]*0.7)</f>
        <v>211.54699999999997</v>
      </c>
    </row>
    <row r="90" spans="1:14" x14ac:dyDescent="0.35">
      <c r="A90" t="str">
        <f t="shared" si="2"/>
        <v>P089</v>
      </c>
      <c r="B90" t="s">
        <v>6</v>
      </c>
      <c r="C90" t="s">
        <v>7</v>
      </c>
      <c r="D90">
        <v>763.21</v>
      </c>
      <c r="E90">
        <v>402</v>
      </c>
      <c r="F90">
        <v>3.5</v>
      </c>
      <c r="G90" t="b">
        <v>1</v>
      </c>
      <c r="H90">
        <f>(Table1[[#This Row],[price]]*Table1[[#This Row],[units_sold]])</f>
        <v>306810.42000000004</v>
      </c>
      <c r="I90" t="str">
        <f>IF(Table1[[#This Row],[in_stock]]=TRUE,"Available","Out of stock")</f>
        <v>Available</v>
      </c>
      <c r="J90" t="str">
        <f>IF(Table1[[#This Row],[rating]]&gt;=4,"High",IF(Table1[[#This Row],[rating]]&gt;=2.5,"Medium","Low"))</f>
        <v>Medium</v>
      </c>
      <c r="K90" t="str">
        <f>IF(Table1[[#This Row],[price]]&lt;200,"Budget",IF(Table1[[#This Row],[price]]&lt;600,"Mid-Range",IF(Table1[[#This Row],[price]]&lt;1000,"Premium","Luxury")))</f>
        <v>Premium</v>
      </c>
      <c r="L90" t="str">
        <f>IF(Table1[[#This Row],[units_sold]]&lt;50,"Very Low",IF(Table1[[#This Row],[units_sold]]&lt;150,"Low",IF(Table1[[#This Row],[units_sold]]&lt;300,"Medium","High")))</f>
        <v>High</v>
      </c>
      <c r="M90" t="str">
        <f t="shared" si="3"/>
        <v>Normal</v>
      </c>
      <c r="N90">
        <f>(Table1[[#This Row],[price]]*0.7)</f>
        <v>534.24699999999996</v>
      </c>
    </row>
    <row r="91" spans="1:14" x14ac:dyDescent="0.35">
      <c r="A91" t="str">
        <f t="shared" si="2"/>
        <v>P090</v>
      </c>
      <c r="B91" t="s">
        <v>13</v>
      </c>
      <c r="C91" t="s">
        <v>9</v>
      </c>
      <c r="D91">
        <v>896.62</v>
      </c>
      <c r="E91">
        <v>183</v>
      </c>
      <c r="F91">
        <v>2.4</v>
      </c>
      <c r="G91" t="b">
        <v>1</v>
      </c>
      <c r="H91">
        <f>(Table1[[#This Row],[price]]*Table1[[#This Row],[units_sold]])</f>
        <v>164081.46</v>
      </c>
      <c r="I91" t="str">
        <f>IF(Table1[[#This Row],[in_stock]]=TRUE,"Available","Out of stock")</f>
        <v>Available</v>
      </c>
      <c r="J91" t="str">
        <f>IF(Table1[[#This Row],[rating]]&gt;=4,"High",IF(Table1[[#This Row],[rating]]&gt;=2.5,"Medium","Low"))</f>
        <v>Low</v>
      </c>
      <c r="K91" t="str">
        <f>IF(Table1[[#This Row],[price]]&lt;200,"Budget",IF(Table1[[#This Row],[price]]&lt;600,"Mid-Range",IF(Table1[[#This Row],[price]]&lt;1000,"Premium","Luxury")))</f>
        <v>Premium</v>
      </c>
      <c r="L91" t="str">
        <f>IF(Table1[[#This Row],[units_sold]]&lt;50,"Very Low",IF(Table1[[#This Row],[units_sold]]&lt;150,"Low",IF(Table1[[#This Row],[units_sold]]&lt;300,"Medium","High")))</f>
        <v>Medium</v>
      </c>
      <c r="M91" t="str">
        <f t="shared" si="3"/>
        <v>Normal</v>
      </c>
      <c r="N91">
        <f>(Table1[[#This Row],[price]]*0.7)</f>
        <v>627.63400000000001</v>
      </c>
    </row>
    <row r="92" spans="1:14" x14ac:dyDescent="0.35">
      <c r="A92" t="str">
        <f t="shared" si="2"/>
        <v>P091</v>
      </c>
      <c r="B92" t="s">
        <v>13</v>
      </c>
      <c r="C92" t="s">
        <v>9</v>
      </c>
      <c r="D92">
        <v>515.51</v>
      </c>
      <c r="E92">
        <v>457</v>
      </c>
      <c r="F92">
        <v>1.3</v>
      </c>
      <c r="G92" t="b">
        <v>1</v>
      </c>
      <c r="H92">
        <f>(Table1[[#This Row],[price]]*Table1[[#This Row],[units_sold]])</f>
        <v>235588.07</v>
      </c>
      <c r="I92" t="str">
        <f>IF(Table1[[#This Row],[in_stock]]=TRUE,"Available","Out of stock")</f>
        <v>Available</v>
      </c>
      <c r="J92" t="str">
        <f>IF(Table1[[#This Row],[rating]]&gt;=4,"High",IF(Table1[[#This Row],[rating]]&gt;=2.5,"Medium","Low"))</f>
        <v>Low</v>
      </c>
      <c r="K92" t="str">
        <f>IF(Table1[[#This Row],[price]]&lt;200,"Budget",IF(Table1[[#This Row],[price]]&lt;600,"Mid-Range",IF(Table1[[#This Row],[price]]&lt;1000,"Premium","Luxury")))</f>
        <v>Mid-Range</v>
      </c>
      <c r="L92" t="str">
        <f>IF(Table1[[#This Row],[units_sold]]&lt;50,"Very Low",IF(Table1[[#This Row],[units_sold]]&lt;150,"Low",IF(Table1[[#This Row],[units_sold]]&lt;300,"Medium","High")))</f>
        <v>High</v>
      </c>
      <c r="M92" t="str">
        <f t="shared" si="3"/>
        <v>Normal</v>
      </c>
      <c r="N92">
        <f>(Table1[[#This Row],[price]]*0.7)</f>
        <v>360.85699999999997</v>
      </c>
    </row>
    <row r="93" spans="1:14" x14ac:dyDescent="0.35">
      <c r="A93" t="str">
        <f t="shared" si="2"/>
        <v>P092</v>
      </c>
      <c r="B93" t="s">
        <v>16</v>
      </c>
      <c r="C93" t="s">
        <v>9</v>
      </c>
      <c r="D93">
        <v>858.47</v>
      </c>
      <c r="E93">
        <v>153</v>
      </c>
      <c r="F93">
        <v>2.6</v>
      </c>
      <c r="G93" t="b">
        <v>0</v>
      </c>
      <c r="H93">
        <f>(Table1[[#This Row],[price]]*Table1[[#This Row],[units_sold]])</f>
        <v>131345.91</v>
      </c>
      <c r="I93" t="str">
        <f>IF(Table1[[#This Row],[in_stock]]=TRUE,"Available","Out of stock")</f>
        <v>Out of stock</v>
      </c>
      <c r="J93" t="str">
        <f>IF(Table1[[#This Row],[rating]]&gt;=4,"High",IF(Table1[[#This Row],[rating]]&gt;=2.5,"Medium","Low"))</f>
        <v>Medium</v>
      </c>
      <c r="K93" t="str">
        <f>IF(Table1[[#This Row],[price]]&lt;200,"Budget",IF(Table1[[#This Row],[price]]&lt;600,"Mid-Range",IF(Table1[[#This Row],[price]]&lt;1000,"Premium","Luxury")))</f>
        <v>Premium</v>
      </c>
      <c r="L93" t="str">
        <f>IF(Table1[[#This Row],[units_sold]]&lt;50,"Very Low",IF(Table1[[#This Row],[units_sold]]&lt;150,"Low",IF(Table1[[#This Row],[units_sold]]&lt;300,"Medium","High")))</f>
        <v>Medium</v>
      </c>
      <c r="M93" t="str">
        <f t="shared" si="3"/>
        <v>Normal</v>
      </c>
      <c r="N93">
        <f>(Table1[[#This Row],[price]]*0.7)</f>
        <v>600.92899999999997</v>
      </c>
    </row>
    <row r="94" spans="1:14" x14ac:dyDescent="0.35">
      <c r="A94" t="str">
        <f t="shared" si="2"/>
        <v>P093</v>
      </c>
      <c r="B94" t="s">
        <v>12</v>
      </c>
      <c r="C94" t="s">
        <v>7</v>
      </c>
      <c r="D94">
        <v>1332.32</v>
      </c>
      <c r="E94">
        <v>488</v>
      </c>
      <c r="F94">
        <v>2.2000000000000002</v>
      </c>
      <c r="G94" t="b">
        <v>1</v>
      </c>
      <c r="H94">
        <f>(Table1[[#This Row],[price]]*Table1[[#This Row],[units_sold]])</f>
        <v>650172.15999999992</v>
      </c>
      <c r="I94" t="str">
        <f>IF(Table1[[#This Row],[in_stock]]=TRUE,"Available","Out of stock")</f>
        <v>Available</v>
      </c>
      <c r="J94" t="str">
        <f>IF(Table1[[#This Row],[rating]]&gt;=4,"High",IF(Table1[[#This Row],[rating]]&gt;=2.5,"Medium","Low"))</f>
        <v>Low</v>
      </c>
      <c r="K94" t="str">
        <f>IF(Table1[[#This Row],[price]]&lt;200,"Budget",IF(Table1[[#This Row],[price]]&lt;600,"Mid-Range",IF(Table1[[#This Row],[price]]&lt;1000,"Premium","Luxury")))</f>
        <v>Luxury</v>
      </c>
      <c r="L94" t="str">
        <f>IF(Table1[[#This Row],[units_sold]]&lt;50,"Very Low",IF(Table1[[#This Row],[units_sold]]&lt;150,"Low",IF(Table1[[#This Row],[units_sold]]&lt;300,"Medium","High")))</f>
        <v>High</v>
      </c>
      <c r="M94" t="str">
        <f t="shared" si="3"/>
        <v>Normal</v>
      </c>
      <c r="N94">
        <f>(Table1[[#This Row],[price]]*0.7)</f>
        <v>932.62399999999991</v>
      </c>
    </row>
    <row r="95" spans="1:14" x14ac:dyDescent="0.35">
      <c r="A95" t="str">
        <f t="shared" si="2"/>
        <v>P094</v>
      </c>
      <c r="B95" t="s">
        <v>10</v>
      </c>
      <c r="C95" t="s">
        <v>9</v>
      </c>
      <c r="D95">
        <v>839.52</v>
      </c>
      <c r="E95">
        <v>315</v>
      </c>
      <c r="F95">
        <v>3.7</v>
      </c>
      <c r="G95" t="b">
        <v>1</v>
      </c>
      <c r="H95">
        <f>(Table1[[#This Row],[price]]*Table1[[#This Row],[units_sold]])</f>
        <v>264448.8</v>
      </c>
      <c r="I95" t="str">
        <f>IF(Table1[[#This Row],[in_stock]]=TRUE,"Available","Out of stock")</f>
        <v>Available</v>
      </c>
      <c r="J95" t="str">
        <f>IF(Table1[[#This Row],[rating]]&gt;=4,"High",IF(Table1[[#This Row],[rating]]&gt;=2.5,"Medium","Low"))</f>
        <v>Medium</v>
      </c>
      <c r="K95" t="str">
        <f>IF(Table1[[#This Row],[price]]&lt;200,"Budget",IF(Table1[[#This Row],[price]]&lt;600,"Mid-Range",IF(Table1[[#This Row],[price]]&lt;1000,"Premium","Luxury")))</f>
        <v>Premium</v>
      </c>
      <c r="L95" t="str">
        <f>IF(Table1[[#This Row],[units_sold]]&lt;50,"Very Low",IF(Table1[[#This Row],[units_sold]]&lt;150,"Low",IF(Table1[[#This Row],[units_sold]]&lt;300,"Medium","High")))</f>
        <v>High</v>
      </c>
      <c r="M95" t="str">
        <f t="shared" si="3"/>
        <v>Normal</v>
      </c>
      <c r="N95">
        <f>(Table1[[#This Row],[price]]*0.7)</f>
        <v>587.66399999999999</v>
      </c>
    </row>
    <row r="96" spans="1:14" x14ac:dyDescent="0.35">
      <c r="A96" t="str">
        <f t="shared" si="2"/>
        <v>P095</v>
      </c>
      <c r="B96" t="s">
        <v>14</v>
      </c>
      <c r="C96" t="s">
        <v>9</v>
      </c>
      <c r="D96">
        <v>1084.01</v>
      </c>
      <c r="E96">
        <v>334</v>
      </c>
      <c r="F96">
        <v>3.4</v>
      </c>
      <c r="G96" t="b">
        <v>0</v>
      </c>
      <c r="H96">
        <f>(Table1[[#This Row],[price]]*Table1[[#This Row],[units_sold]])</f>
        <v>362059.34</v>
      </c>
      <c r="I96" t="str">
        <f>IF(Table1[[#This Row],[in_stock]]=TRUE,"Available","Out of stock")</f>
        <v>Out of stock</v>
      </c>
      <c r="J96" t="str">
        <f>IF(Table1[[#This Row],[rating]]&gt;=4,"High",IF(Table1[[#This Row],[rating]]&gt;=2.5,"Medium","Low"))</f>
        <v>Medium</v>
      </c>
      <c r="K96" t="str">
        <f>IF(Table1[[#This Row],[price]]&lt;200,"Budget",IF(Table1[[#This Row],[price]]&lt;600,"Mid-Range",IF(Table1[[#This Row],[price]]&lt;1000,"Premium","Luxury")))</f>
        <v>Luxury</v>
      </c>
      <c r="L96" t="str">
        <f>IF(Table1[[#This Row],[units_sold]]&lt;50,"Very Low",IF(Table1[[#This Row],[units_sold]]&lt;150,"Low",IF(Table1[[#This Row],[units_sold]]&lt;300,"Medium","High")))</f>
        <v>High</v>
      </c>
      <c r="M96" t="str">
        <f t="shared" si="3"/>
        <v>High Demand - Out of Stock</v>
      </c>
      <c r="N96">
        <f>(Table1[[#This Row],[price]]*0.7)</f>
        <v>758.8069999999999</v>
      </c>
    </row>
    <row r="97" spans="1:14" x14ac:dyDescent="0.35">
      <c r="A97" t="str">
        <f t="shared" si="2"/>
        <v>P096</v>
      </c>
      <c r="B97" t="s">
        <v>10</v>
      </c>
      <c r="C97" t="s">
        <v>9</v>
      </c>
      <c r="D97">
        <v>1209.92</v>
      </c>
      <c r="E97">
        <v>124</v>
      </c>
      <c r="F97">
        <v>2.5</v>
      </c>
      <c r="G97" t="b">
        <v>0</v>
      </c>
      <c r="H97">
        <f>(Table1[[#This Row],[price]]*Table1[[#This Row],[units_sold]])</f>
        <v>150030.08000000002</v>
      </c>
      <c r="I97" t="str">
        <f>IF(Table1[[#This Row],[in_stock]]=TRUE,"Available","Out of stock")</f>
        <v>Out of stock</v>
      </c>
      <c r="J97" t="str">
        <f>IF(Table1[[#This Row],[rating]]&gt;=4,"High",IF(Table1[[#This Row],[rating]]&gt;=2.5,"Medium","Low"))</f>
        <v>Medium</v>
      </c>
      <c r="K97" t="str">
        <f>IF(Table1[[#This Row],[price]]&lt;200,"Budget",IF(Table1[[#This Row],[price]]&lt;600,"Mid-Range",IF(Table1[[#This Row],[price]]&lt;1000,"Premium","Luxury")))</f>
        <v>Luxury</v>
      </c>
      <c r="L97" t="str">
        <f>IF(Table1[[#This Row],[units_sold]]&lt;50,"Very Low",IF(Table1[[#This Row],[units_sold]]&lt;150,"Low",IF(Table1[[#This Row],[units_sold]]&lt;300,"Medium","High")))</f>
        <v>Low</v>
      </c>
      <c r="M97" t="str">
        <f t="shared" si="3"/>
        <v>Normal</v>
      </c>
      <c r="N97">
        <f>(Table1[[#This Row],[price]]*0.7)</f>
        <v>846.94399999999996</v>
      </c>
    </row>
    <row r="98" spans="1:14" x14ac:dyDescent="0.35">
      <c r="A98" t="str">
        <f t="shared" si="2"/>
        <v>P097</v>
      </c>
      <c r="B98" t="s">
        <v>8</v>
      </c>
      <c r="C98" t="s">
        <v>9</v>
      </c>
      <c r="D98">
        <v>1483.21</v>
      </c>
      <c r="E98">
        <v>473</v>
      </c>
      <c r="F98">
        <v>1.9</v>
      </c>
      <c r="G98" t="b">
        <v>0</v>
      </c>
      <c r="H98">
        <f>(Table1[[#This Row],[price]]*Table1[[#This Row],[units_sold]])</f>
        <v>701558.33000000007</v>
      </c>
      <c r="I98" t="str">
        <f>IF(Table1[[#This Row],[in_stock]]=TRUE,"Available","Out of stock")</f>
        <v>Out of stock</v>
      </c>
      <c r="J98" t="str">
        <f>IF(Table1[[#This Row],[rating]]&gt;=4,"High",IF(Table1[[#This Row],[rating]]&gt;=2.5,"Medium","Low"))</f>
        <v>Low</v>
      </c>
      <c r="K98" t="str">
        <f>IF(Table1[[#This Row],[price]]&lt;200,"Budget",IF(Table1[[#This Row],[price]]&lt;600,"Mid-Range",IF(Table1[[#This Row],[price]]&lt;1000,"Premium","Luxury")))</f>
        <v>Luxury</v>
      </c>
      <c r="L98" t="str">
        <f>IF(Table1[[#This Row],[units_sold]]&lt;50,"Very Low",IF(Table1[[#This Row],[units_sold]]&lt;150,"Low",IF(Table1[[#This Row],[units_sold]]&lt;300,"Medium","High")))</f>
        <v>High</v>
      </c>
      <c r="M98" t="str">
        <f t="shared" si="3"/>
        <v>High Demand - Out of Stock</v>
      </c>
      <c r="N98">
        <f>(Table1[[#This Row],[price]]*0.7)</f>
        <v>1038.2470000000001</v>
      </c>
    </row>
    <row r="99" spans="1:14" x14ac:dyDescent="0.35">
      <c r="A99" t="str">
        <f t="shared" si="2"/>
        <v>P098</v>
      </c>
      <c r="B99" t="s">
        <v>14</v>
      </c>
      <c r="C99" t="s">
        <v>9</v>
      </c>
      <c r="D99">
        <v>908.76</v>
      </c>
      <c r="E99">
        <v>114</v>
      </c>
      <c r="F99">
        <v>5</v>
      </c>
      <c r="G99" t="b">
        <v>1</v>
      </c>
      <c r="H99">
        <f>(Table1[[#This Row],[price]]*Table1[[#This Row],[units_sold]])</f>
        <v>103598.64</v>
      </c>
      <c r="I99" t="str">
        <f>IF(Table1[[#This Row],[in_stock]]=TRUE,"Available","Out of stock")</f>
        <v>Available</v>
      </c>
      <c r="J99" t="str">
        <f>IF(Table1[[#This Row],[rating]]&gt;=4,"High",IF(Table1[[#This Row],[rating]]&gt;=2.5,"Medium","Low"))</f>
        <v>High</v>
      </c>
      <c r="K99" t="str">
        <f>IF(Table1[[#This Row],[price]]&lt;200,"Budget",IF(Table1[[#This Row],[price]]&lt;600,"Mid-Range",IF(Table1[[#This Row],[price]]&lt;1000,"Premium","Luxury")))</f>
        <v>Premium</v>
      </c>
      <c r="L99" t="str">
        <f>IF(Table1[[#This Row],[units_sold]]&lt;50,"Very Low",IF(Table1[[#This Row],[units_sold]]&lt;150,"Low",IF(Table1[[#This Row],[units_sold]]&lt;300,"Medium","High")))</f>
        <v>Low</v>
      </c>
      <c r="M99" t="str">
        <f t="shared" si="3"/>
        <v>Normal</v>
      </c>
      <c r="N99">
        <f>(Table1[[#This Row],[price]]*0.7)</f>
        <v>636.13199999999995</v>
      </c>
    </row>
    <row r="100" spans="1:14" x14ac:dyDescent="0.35">
      <c r="A100" t="str">
        <f t="shared" si="2"/>
        <v>P099</v>
      </c>
      <c r="B100" t="s">
        <v>8</v>
      </c>
      <c r="C100" t="s">
        <v>9</v>
      </c>
      <c r="D100">
        <v>1212.21</v>
      </c>
      <c r="E100">
        <v>278</v>
      </c>
      <c r="F100">
        <v>2.8</v>
      </c>
      <c r="G100" t="b">
        <v>1</v>
      </c>
      <c r="H100">
        <f>(Table1[[#This Row],[price]]*Table1[[#This Row],[units_sold]])</f>
        <v>336994.38</v>
      </c>
      <c r="I100" t="str">
        <f>IF(Table1[[#This Row],[in_stock]]=TRUE,"Available","Out of stock")</f>
        <v>Available</v>
      </c>
      <c r="J100" t="str">
        <f>IF(Table1[[#This Row],[rating]]&gt;=4,"High",IF(Table1[[#This Row],[rating]]&gt;=2.5,"Medium","Low"))</f>
        <v>Medium</v>
      </c>
      <c r="K100" t="str">
        <f>IF(Table1[[#This Row],[price]]&lt;200,"Budget",IF(Table1[[#This Row],[price]]&lt;600,"Mid-Range",IF(Table1[[#This Row],[price]]&lt;1000,"Premium","Luxury")))</f>
        <v>Luxury</v>
      </c>
      <c r="L100" t="str">
        <f>IF(Table1[[#This Row],[units_sold]]&lt;50,"Very Low",IF(Table1[[#This Row],[units_sold]]&lt;150,"Low",IF(Table1[[#This Row],[units_sold]]&lt;300,"Medium","High")))</f>
        <v>Medium</v>
      </c>
      <c r="M100" t="str">
        <f t="shared" si="3"/>
        <v>Normal</v>
      </c>
      <c r="N100">
        <f>(Table1[[#This Row],[price]]*0.7)</f>
        <v>848.54700000000003</v>
      </c>
    </row>
    <row r="101" spans="1:14" x14ac:dyDescent="0.35">
      <c r="A101" t="str">
        <f t="shared" si="2"/>
        <v>P100</v>
      </c>
      <c r="B101" t="s">
        <v>6</v>
      </c>
      <c r="C101" t="s">
        <v>7</v>
      </c>
      <c r="D101">
        <v>1444.35</v>
      </c>
      <c r="E101">
        <v>414</v>
      </c>
      <c r="F101">
        <v>3.8</v>
      </c>
      <c r="G101" t="b">
        <v>1</v>
      </c>
      <c r="H101">
        <f>(Table1[[#This Row],[price]]*Table1[[#This Row],[units_sold]])</f>
        <v>597960.89999999991</v>
      </c>
      <c r="I101" t="str">
        <f>IF(Table1[[#This Row],[in_stock]]=TRUE,"Available","Out of stock")</f>
        <v>Available</v>
      </c>
      <c r="J101" t="str">
        <f>IF(Table1[[#This Row],[rating]]&gt;=4,"High",IF(Table1[[#This Row],[rating]]&gt;=2.5,"Medium","Low"))</f>
        <v>Medium</v>
      </c>
      <c r="K101" t="str">
        <f>IF(Table1[[#This Row],[price]]&lt;200,"Budget",IF(Table1[[#This Row],[price]]&lt;600,"Mid-Range",IF(Table1[[#This Row],[price]]&lt;1000,"Premium","Luxury")))</f>
        <v>Luxury</v>
      </c>
      <c r="L101" t="str">
        <f>IF(Table1[[#This Row],[units_sold]]&lt;50,"Very Low",IF(Table1[[#This Row],[units_sold]]&lt;150,"Low",IF(Table1[[#This Row],[units_sold]]&lt;300,"Medium","High")))</f>
        <v>High</v>
      </c>
      <c r="M101" t="str">
        <f t="shared" si="3"/>
        <v>Normal</v>
      </c>
      <c r="N101">
        <f>(Table1[[#This Row],[price]]*0.7)</f>
        <v>1011.0449999999998</v>
      </c>
    </row>
    <row r="102" spans="1:14" x14ac:dyDescent="0.35">
      <c r="A102" t="str">
        <f t="shared" si="2"/>
        <v>P101</v>
      </c>
      <c r="B102" t="s">
        <v>11</v>
      </c>
      <c r="C102" t="s">
        <v>9</v>
      </c>
      <c r="D102">
        <v>1417.17</v>
      </c>
      <c r="E102">
        <v>468</v>
      </c>
      <c r="F102">
        <v>1.6</v>
      </c>
      <c r="G102" t="b">
        <v>1</v>
      </c>
      <c r="H102">
        <f>(Table1[[#This Row],[price]]*Table1[[#This Row],[units_sold]])</f>
        <v>663235.56000000006</v>
      </c>
      <c r="I102" t="str">
        <f>IF(Table1[[#This Row],[in_stock]]=TRUE,"Available","Out of stock")</f>
        <v>Available</v>
      </c>
      <c r="J102" t="str">
        <f>IF(Table1[[#This Row],[rating]]&gt;=4,"High",IF(Table1[[#This Row],[rating]]&gt;=2.5,"Medium","Low"))</f>
        <v>Low</v>
      </c>
      <c r="K102" t="str">
        <f>IF(Table1[[#This Row],[price]]&lt;200,"Budget",IF(Table1[[#This Row],[price]]&lt;600,"Mid-Range",IF(Table1[[#This Row],[price]]&lt;1000,"Premium","Luxury")))</f>
        <v>Luxury</v>
      </c>
      <c r="L102" t="str">
        <f>IF(Table1[[#This Row],[units_sold]]&lt;50,"Very Low",IF(Table1[[#This Row],[units_sold]]&lt;150,"Low",IF(Table1[[#This Row],[units_sold]]&lt;300,"Medium","High")))</f>
        <v>High</v>
      </c>
      <c r="M102" t="str">
        <f t="shared" si="3"/>
        <v>Normal</v>
      </c>
      <c r="N102">
        <f>(Table1[[#This Row],[price]]*0.7)</f>
        <v>992.01900000000001</v>
      </c>
    </row>
    <row r="103" spans="1:14" x14ac:dyDescent="0.35">
      <c r="A103" t="str">
        <f t="shared" si="2"/>
        <v>P102</v>
      </c>
      <c r="B103" t="s">
        <v>16</v>
      </c>
      <c r="C103" t="s">
        <v>9</v>
      </c>
      <c r="D103">
        <v>220.21</v>
      </c>
      <c r="E103">
        <v>213</v>
      </c>
      <c r="F103">
        <v>2.9</v>
      </c>
      <c r="G103" t="b">
        <v>1</v>
      </c>
      <c r="H103">
        <f>(Table1[[#This Row],[price]]*Table1[[#This Row],[units_sold]])</f>
        <v>46904.73</v>
      </c>
      <c r="I103" t="str">
        <f>IF(Table1[[#This Row],[in_stock]]=TRUE,"Available","Out of stock")</f>
        <v>Available</v>
      </c>
      <c r="J103" t="str">
        <f>IF(Table1[[#This Row],[rating]]&gt;=4,"High",IF(Table1[[#This Row],[rating]]&gt;=2.5,"Medium","Low"))</f>
        <v>Medium</v>
      </c>
      <c r="K103" t="str">
        <f>IF(Table1[[#This Row],[price]]&lt;200,"Budget",IF(Table1[[#This Row],[price]]&lt;600,"Mid-Range",IF(Table1[[#This Row],[price]]&lt;1000,"Premium","Luxury")))</f>
        <v>Mid-Range</v>
      </c>
      <c r="L103" t="str">
        <f>IF(Table1[[#This Row],[units_sold]]&lt;50,"Very Low",IF(Table1[[#This Row],[units_sold]]&lt;150,"Low",IF(Table1[[#This Row],[units_sold]]&lt;300,"Medium","High")))</f>
        <v>Medium</v>
      </c>
      <c r="M103" t="str">
        <f t="shared" si="3"/>
        <v>Normal</v>
      </c>
      <c r="N103">
        <f>(Table1[[#This Row],[price]]*0.7)</f>
        <v>154.14699999999999</v>
      </c>
    </row>
    <row r="104" spans="1:14" x14ac:dyDescent="0.35">
      <c r="A104" t="str">
        <f t="shared" si="2"/>
        <v>P103</v>
      </c>
      <c r="B104" t="s">
        <v>14</v>
      </c>
      <c r="C104" t="s">
        <v>9</v>
      </c>
      <c r="D104">
        <v>615.52</v>
      </c>
      <c r="E104">
        <v>172</v>
      </c>
      <c r="F104">
        <v>1.1000000000000001</v>
      </c>
      <c r="G104" t="b">
        <v>1</v>
      </c>
      <c r="H104">
        <f>(Table1[[#This Row],[price]]*Table1[[#This Row],[units_sold]])</f>
        <v>105869.44</v>
      </c>
      <c r="I104" t="str">
        <f>IF(Table1[[#This Row],[in_stock]]=TRUE,"Available","Out of stock")</f>
        <v>Available</v>
      </c>
      <c r="J104" t="str">
        <f>IF(Table1[[#This Row],[rating]]&gt;=4,"High",IF(Table1[[#This Row],[rating]]&gt;=2.5,"Medium","Low"))</f>
        <v>Low</v>
      </c>
      <c r="K104" t="str">
        <f>IF(Table1[[#This Row],[price]]&lt;200,"Budget",IF(Table1[[#This Row],[price]]&lt;600,"Mid-Range",IF(Table1[[#This Row],[price]]&lt;1000,"Premium","Luxury")))</f>
        <v>Premium</v>
      </c>
      <c r="L104" t="str">
        <f>IF(Table1[[#This Row],[units_sold]]&lt;50,"Very Low",IF(Table1[[#This Row],[units_sold]]&lt;150,"Low",IF(Table1[[#This Row],[units_sold]]&lt;300,"Medium","High")))</f>
        <v>Medium</v>
      </c>
      <c r="M104" t="str">
        <f t="shared" si="3"/>
        <v>Normal</v>
      </c>
      <c r="N104">
        <f>(Table1[[#This Row],[price]]*0.7)</f>
        <v>430.86399999999998</v>
      </c>
    </row>
    <row r="105" spans="1:14" x14ac:dyDescent="0.35">
      <c r="A105" t="str">
        <f t="shared" si="2"/>
        <v>P104</v>
      </c>
      <c r="B105" t="s">
        <v>14</v>
      </c>
      <c r="C105" t="s">
        <v>9</v>
      </c>
      <c r="D105">
        <v>492.75</v>
      </c>
      <c r="E105">
        <v>288</v>
      </c>
      <c r="F105">
        <v>3</v>
      </c>
      <c r="G105" t="b">
        <v>1</v>
      </c>
      <c r="H105">
        <f>(Table1[[#This Row],[price]]*Table1[[#This Row],[units_sold]])</f>
        <v>141912</v>
      </c>
      <c r="I105" t="str">
        <f>IF(Table1[[#This Row],[in_stock]]=TRUE,"Available","Out of stock")</f>
        <v>Available</v>
      </c>
      <c r="J105" t="str">
        <f>IF(Table1[[#This Row],[rating]]&gt;=4,"High",IF(Table1[[#This Row],[rating]]&gt;=2.5,"Medium","Low"))</f>
        <v>Medium</v>
      </c>
      <c r="K105" t="str">
        <f>IF(Table1[[#This Row],[price]]&lt;200,"Budget",IF(Table1[[#This Row],[price]]&lt;600,"Mid-Range",IF(Table1[[#This Row],[price]]&lt;1000,"Premium","Luxury")))</f>
        <v>Mid-Range</v>
      </c>
      <c r="L105" t="str">
        <f>IF(Table1[[#This Row],[units_sold]]&lt;50,"Very Low",IF(Table1[[#This Row],[units_sold]]&lt;150,"Low",IF(Table1[[#This Row],[units_sold]]&lt;300,"Medium","High")))</f>
        <v>Medium</v>
      </c>
      <c r="M105" t="str">
        <f t="shared" si="3"/>
        <v>Normal</v>
      </c>
      <c r="N105">
        <f>(Table1[[#This Row],[price]]*0.7)</f>
        <v>344.92499999999995</v>
      </c>
    </row>
    <row r="106" spans="1:14" x14ac:dyDescent="0.35">
      <c r="A106" t="str">
        <f t="shared" si="2"/>
        <v>P105</v>
      </c>
      <c r="B106" t="s">
        <v>6</v>
      </c>
      <c r="C106" t="s">
        <v>7</v>
      </c>
      <c r="D106">
        <v>139.52000000000001</v>
      </c>
      <c r="E106">
        <v>435</v>
      </c>
      <c r="F106">
        <v>4.9000000000000004</v>
      </c>
      <c r="G106" t="b">
        <v>1</v>
      </c>
      <c r="H106">
        <f>(Table1[[#This Row],[price]]*Table1[[#This Row],[units_sold]])</f>
        <v>60691.200000000004</v>
      </c>
      <c r="I106" t="str">
        <f>IF(Table1[[#This Row],[in_stock]]=TRUE,"Available","Out of stock")</f>
        <v>Available</v>
      </c>
      <c r="J106" t="str">
        <f>IF(Table1[[#This Row],[rating]]&gt;=4,"High",IF(Table1[[#This Row],[rating]]&gt;=2.5,"Medium","Low"))</f>
        <v>High</v>
      </c>
      <c r="K106" t="str">
        <f>IF(Table1[[#This Row],[price]]&lt;200,"Budget",IF(Table1[[#This Row],[price]]&lt;600,"Mid-Range",IF(Table1[[#This Row],[price]]&lt;1000,"Premium","Luxury")))</f>
        <v>Budget</v>
      </c>
      <c r="L106" t="str">
        <f>IF(Table1[[#This Row],[units_sold]]&lt;50,"Very Low",IF(Table1[[#This Row],[units_sold]]&lt;150,"Low",IF(Table1[[#This Row],[units_sold]]&lt;300,"Medium","High")))</f>
        <v>High</v>
      </c>
      <c r="M106" t="str">
        <f t="shared" si="3"/>
        <v>Normal</v>
      </c>
      <c r="N106">
        <f>(Table1[[#This Row],[price]]*0.7)</f>
        <v>97.664000000000001</v>
      </c>
    </row>
    <row r="107" spans="1:14" x14ac:dyDescent="0.35">
      <c r="A107" t="str">
        <f t="shared" si="2"/>
        <v>P106</v>
      </c>
      <c r="B107" t="s">
        <v>12</v>
      </c>
      <c r="C107" t="s">
        <v>7</v>
      </c>
      <c r="D107">
        <v>953.53</v>
      </c>
      <c r="E107">
        <v>174</v>
      </c>
      <c r="F107">
        <v>2.5</v>
      </c>
      <c r="G107" t="b">
        <v>1</v>
      </c>
      <c r="H107">
        <f>(Table1[[#This Row],[price]]*Table1[[#This Row],[units_sold]])</f>
        <v>165914.22</v>
      </c>
      <c r="I107" t="str">
        <f>IF(Table1[[#This Row],[in_stock]]=TRUE,"Available","Out of stock")</f>
        <v>Available</v>
      </c>
      <c r="J107" t="str">
        <f>IF(Table1[[#This Row],[rating]]&gt;=4,"High",IF(Table1[[#This Row],[rating]]&gt;=2.5,"Medium","Low"))</f>
        <v>Medium</v>
      </c>
      <c r="K107" t="str">
        <f>IF(Table1[[#This Row],[price]]&lt;200,"Budget",IF(Table1[[#This Row],[price]]&lt;600,"Mid-Range",IF(Table1[[#This Row],[price]]&lt;1000,"Premium","Luxury")))</f>
        <v>Premium</v>
      </c>
      <c r="L107" t="str">
        <f>IF(Table1[[#This Row],[units_sold]]&lt;50,"Very Low",IF(Table1[[#This Row],[units_sold]]&lt;150,"Low",IF(Table1[[#This Row],[units_sold]]&lt;300,"Medium","High")))</f>
        <v>Medium</v>
      </c>
      <c r="M107" t="str">
        <f t="shared" si="3"/>
        <v>Normal</v>
      </c>
      <c r="N107">
        <f>(Table1[[#This Row],[price]]*0.7)</f>
        <v>667.47099999999989</v>
      </c>
    </row>
    <row r="108" spans="1:14" x14ac:dyDescent="0.35">
      <c r="A108" t="str">
        <f t="shared" si="2"/>
        <v>P107</v>
      </c>
      <c r="B108" t="s">
        <v>13</v>
      </c>
      <c r="C108" t="s">
        <v>9</v>
      </c>
      <c r="D108">
        <v>1106.5</v>
      </c>
      <c r="E108">
        <v>113</v>
      </c>
      <c r="F108">
        <v>1.2</v>
      </c>
      <c r="G108" t="b">
        <v>1</v>
      </c>
      <c r="H108">
        <f>(Table1[[#This Row],[price]]*Table1[[#This Row],[units_sold]])</f>
        <v>125034.5</v>
      </c>
      <c r="I108" t="str">
        <f>IF(Table1[[#This Row],[in_stock]]=TRUE,"Available","Out of stock")</f>
        <v>Available</v>
      </c>
      <c r="J108" t="str">
        <f>IF(Table1[[#This Row],[rating]]&gt;=4,"High",IF(Table1[[#This Row],[rating]]&gt;=2.5,"Medium","Low"))</f>
        <v>Low</v>
      </c>
      <c r="K108" t="str">
        <f>IF(Table1[[#This Row],[price]]&lt;200,"Budget",IF(Table1[[#This Row],[price]]&lt;600,"Mid-Range",IF(Table1[[#This Row],[price]]&lt;1000,"Premium","Luxury")))</f>
        <v>Luxury</v>
      </c>
      <c r="L108" t="str">
        <f>IF(Table1[[#This Row],[units_sold]]&lt;50,"Very Low",IF(Table1[[#This Row],[units_sold]]&lt;150,"Low",IF(Table1[[#This Row],[units_sold]]&lt;300,"Medium","High")))</f>
        <v>Low</v>
      </c>
      <c r="M108" t="str">
        <f t="shared" si="3"/>
        <v>Normal</v>
      </c>
      <c r="N108">
        <f>(Table1[[#This Row],[price]]*0.7)</f>
        <v>774.55</v>
      </c>
    </row>
    <row r="109" spans="1:14" x14ac:dyDescent="0.35">
      <c r="A109" t="str">
        <f t="shared" si="2"/>
        <v>P108</v>
      </c>
      <c r="B109" t="s">
        <v>6</v>
      </c>
      <c r="C109" t="s">
        <v>7</v>
      </c>
      <c r="D109">
        <v>1273.71</v>
      </c>
      <c r="E109">
        <v>376</v>
      </c>
      <c r="F109">
        <v>1.1000000000000001</v>
      </c>
      <c r="G109" t="b">
        <v>1</v>
      </c>
      <c r="H109">
        <f>(Table1[[#This Row],[price]]*Table1[[#This Row],[units_sold]])</f>
        <v>478914.96</v>
      </c>
      <c r="I109" t="str">
        <f>IF(Table1[[#This Row],[in_stock]]=TRUE,"Available","Out of stock")</f>
        <v>Available</v>
      </c>
      <c r="J109" t="str">
        <f>IF(Table1[[#This Row],[rating]]&gt;=4,"High",IF(Table1[[#This Row],[rating]]&gt;=2.5,"Medium","Low"))</f>
        <v>Low</v>
      </c>
      <c r="K109" t="str">
        <f>IF(Table1[[#This Row],[price]]&lt;200,"Budget",IF(Table1[[#This Row],[price]]&lt;600,"Mid-Range",IF(Table1[[#This Row],[price]]&lt;1000,"Premium","Luxury")))</f>
        <v>Luxury</v>
      </c>
      <c r="L109" t="str">
        <f>IF(Table1[[#This Row],[units_sold]]&lt;50,"Very Low",IF(Table1[[#This Row],[units_sold]]&lt;150,"Low",IF(Table1[[#This Row],[units_sold]]&lt;300,"Medium","High")))</f>
        <v>High</v>
      </c>
      <c r="M109" t="str">
        <f t="shared" si="3"/>
        <v>Normal</v>
      </c>
      <c r="N109">
        <f>(Table1[[#This Row],[price]]*0.7)</f>
        <v>891.59699999999998</v>
      </c>
    </row>
    <row r="110" spans="1:14" x14ac:dyDescent="0.35">
      <c r="A110" t="str">
        <f t="shared" si="2"/>
        <v>P109</v>
      </c>
      <c r="B110" t="s">
        <v>15</v>
      </c>
      <c r="C110" t="s">
        <v>7</v>
      </c>
      <c r="D110">
        <v>192.94</v>
      </c>
      <c r="E110">
        <v>405</v>
      </c>
      <c r="F110">
        <v>2.6</v>
      </c>
      <c r="G110" t="b">
        <v>1</v>
      </c>
      <c r="H110">
        <f>(Table1[[#This Row],[price]]*Table1[[#This Row],[units_sold]])</f>
        <v>78140.7</v>
      </c>
      <c r="I110" t="str">
        <f>IF(Table1[[#This Row],[in_stock]]=TRUE,"Available","Out of stock")</f>
        <v>Available</v>
      </c>
      <c r="J110" t="str">
        <f>IF(Table1[[#This Row],[rating]]&gt;=4,"High",IF(Table1[[#This Row],[rating]]&gt;=2.5,"Medium","Low"))</f>
        <v>Medium</v>
      </c>
      <c r="K110" t="str">
        <f>IF(Table1[[#This Row],[price]]&lt;200,"Budget",IF(Table1[[#This Row],[price]]&lt;600,"Mid-Range",IF(Table1[[#This Row],[price]]&lt;1000,"Premium","Luxury")))</f>
        <v>Budget</v>
      </c>
      <c r="L110" t="str">
        <f>IF(Table1[[#This Row],[units_sold]]&lt;50,"Very Low",IF(Table1[[#This Row],[units_sold]]&lt;150,"Low",IF(Table1[[#This Row],[units_sold]]&lt;300,"Medium","High")))</f>
        <v>High</v>
      </c>
      <c r="M110" t="str">
        <f t="shared" si="3"/>
        <v>Normal</v>
      </c>
      <c r="N110">
        <f>(Table1[[#This Row],[price]]*0.7)</f>
        <v>135.05799999999999</v>
      </c>
    </row>
    <row r="111" spans="1:14" x14ac:dyDescent="0.35">
      <c r="A111" t="str">
        <f t="shared" si="2"/>
        <v>P110</v>
      </c>
      <c r="B111" t="s">
        <v>13</v>
      </c>
      <c r="C111" t="s">
        <v>9</v>
      </c>
      <c r="D111">
        <v>1315.9</v>
      </c>
      <c r="E111">
        <v>483</v>
      </c>
      <c r="F111">
        <v>1.6</v>
      </c>
      <c r="G111" t="b">
        <v>1</v>
      </c>
      <c r="H111">
        <f>(Table1[[#This Row],[price]]*Table1[[#This Row],[units_sold]])</f>
        <v>635579.70000000007</v>
      </c>
      <c r="I111" t="str">
        <f>IF(Table1[[#This Row],[in_stock]]=TRUE,"Available","Out of stock")</f>
        <v>Available</v>
      </c>
      <c r="J111" t="str">
        <f>IF(Table1[[#This Row],[rating]]&gt;=4,"High",IF(Table1[[#This Row],[rating]]&gt;=2.5,"Medium","Low"))</f>
        <v>Low</v>
      </c>
      <c r="K111" t="str">
        <f>IF(Table1[[#This Row],[price]]&lt;200,"Budget",IF(Table1[[#This Row],[price]]&lt;600,"Mid-Range",IF(Table1[[#This Row],[price]]&lt;1000,"Premium","Luxury")))</f>
        <v>Luxury</v>
      </c>
      <c r="L111" t="str">
        <f>IF(Table1[[#This Row],[units_sold]]&lt;50,"Very Low",IF(Table1[[#This Row],[units_sold]]&lt;150,"Low",IF(Table1[[#This Row],[units_sold]]&lt;300,"Medium","High")))</f>
        <v>High</v>
      </c>
      <c r="M111" t="str">
        <f t="shared" si="3"/>
        <v>Normal</v>
      </c>
      <c r="N111">
        <f>(Table1[[#This Row],[price]]*0.7)</f>
        <v>921.13</v>
      </c>
    </row>
    <row r="112" spans="1:14" x14ac:dyDescent="0.35">
      <c r="A112" t="str">
        <f t="shared" si="2"/>
        <v>P111</v>
      </c>
      <c r="B112" t="s">
        <v>16</v>
      </c>
      <c r="C112" t="s">
        <v>9</v>
      </c>
      <c r="D112">
        <v>967.96</v>
      </c>
      <c r="E112">
        <v>122</v>
      </c>
      <c r="F112">
        <v>1.1000000000000001</v>
      </c>
      <c r="G112" t="b">
        <v>1</v>
      </c>
      <c r="H112">
        <f>(Table1[[#This Row],[price]]*Table1[[#This Row],[units_sold]])</f>
        <v>118091.12000000001</v>
      </c>
      <c r="I112" t="str">
        <f>IF(Table1[[#This Row],[in_stock]]=TRUE,"Available","Out of stock")</f>
        <v>Available</v>
      </c>
      <c r="J112" t="str">
        <f>IF(Table1[[#This Row],[rating]]&gt;=4,"High",IF(Table1[[#This Row],[rating]]&gt;=2.5,"Medium","Low"))</f>
        <v>Low</v>
      </c>
      <c r="K112" t="str">
        <f>IF(Table1[[#This Row],[price]]&lt;200,"Budget",IF(Table1[[#This Row],[price]]&lt;600,"Mid-Range",IF(Table1[[#This Row],[price]]&lt;1000,"Premium","Luxury")))</f>
        <v>Premium</v>
      </c>
      <c r="L112" t="str">
        <f>IF(Table1[[#This Row],[units_sold]]&lt;50,"Very Low",IF(Table1[[#This Row],[units_sold]]&lt;150,"Low",IF(Table1[[#This Row],[units_sold]]&lt;300,"Medium","High")))</f>
        <v>Low</v>
      </c>
      <c r="M112" t="str">
        <f t="shared" si="3"/>
        <v>Normal</v>
      </c>
      <c r="N112">
        <f>(Table1[[#This Row],[price]]*0.7)</f>
        <v>677.572</v>
      </c>
    </row>
    <row r="113" spans="1:14" x14ac:dyDescent="0.35">
      <c r="A113" t="str">
        <f t="shared" si="2"/>
        <v>P112</v>
      </c>
      <c r="B113" t="s">
        <v>13</v>
      </c>
      <c r="C113" t="s">
        <v>9</v>
      </c>
      <c r="D113">
        <v>1058.8800000000001</v>
      </c>
      <c r="E113">
        <v>32</v>
      </c>
      <c r="F113">
        <v>4</v>
      </c>
      <c r="G113" t="b">
        <v>1</v>
      </c>
      <c r="H113">
        <f>(Table1[[#This Row],[price]]*Table1[[#This Row],[units_sold]])</f>
        <v>33884.160000000003</v>
      </c>
      <c r="I113" t="str">
        <f>IF(Table1[[#This Row],[in_stock]]=TRUE,"Available","Out of stock")</f>
        <v>Available</v>
      </c>
      <c r="J113" t="str">
        <f>IF(Table1[[#This Row],[rating]]&gt;=4,"High",IF(Table1[[#This Row],[rating]]&gt;=2.5,"Medium","Low"))</f>
        <v>High</v>
      </c>
      <c r="K113" t="str">
        <f>IF(Table1[[#This Row],[price]]&lt;200,"Budget",IF(Table1[[#This Row],[price]]&lt;600,"Mid-Range",IF(Table1[[#This Row],[price]]&lt;1000,"Premium","Luxury")))</f>
        <v>Luxury</v>
      </c>
      <c r="L113" t="str">
        <f>IF(Table1[[#This Row],[units_sold]]&lt;50,"Very Low",IF(Table1[[#This Row],[units_sold]]&lt;150,"Low",IF(Table1[[#This Row],[units_sold]]&lt;300,"Medium","High")))</f>
        <v>Very Low</v>
      </c>
      <c r="M113" t="str">
        <f t="shared" si="3"/>
        <v>Normal</v>
      </c>
      <c r="N113">
        <f>(Table1[[#This Row],[price]]*0.7)</f>
        <v>741.21600000000001</v>
      </c>
    </row>
    <row r="114" spans="1:14" x14ac:dyDescent="0.35">
      <c r="A114" t="str">
        <f t="shared" si="2"/>
        <v>P113</v>
      </c>
      <c r="B114" t="s">
        <v>12</v>
      </c>
      <c r="C114" t="s">
        <v>7</v>
      </c>
      <c r="D114">
        <v>1366.83</v>
      </c>
      <c r="E114">
        <v>222</v>
      </c>
      <c r="F114">
        <v>2.8</v>
      </c>
      <c r="G114" t="b">
        <v>1</v>
      </c>
      <c r="H114">
        <f>(Table1[[#This Row],[price]]*Table1[[#This Row],[units_sold]])</f>
        <v>303436.26</v>
      </c>
      <c r="I114" t="str">
        <f>IF(Table1[[#This Row],[in_stock]]=TRUE,"Available","Out of stock")</f>
        <v>Available</v>
      </c>
      <c r="J114" t="str">
        <f>IF(Table1[[#This Row],[rating]]&gt;=4,"High",IF(Table1[[#This Row],[rating]]&gt;=2.5,"Medium","Low"))</f>
        <v>Medium</v>
      </c>
      <c r="K114" t="str">
        <f>IF(Table1[[#This Row],[price]]&lt;200,"Budget",IF(Table1[[#This Row],[price]]&lt;600,"Mid-Range",IF(Table1[[#This Row],[price]]&lt;1000,"Premium","Luxury")))</f>
        <v>Luxury</v>
      </c>
      <c r="L114" t="str">
        <f>IF(Table1[[#This Row],[units_sold]]&lt;50,"Very Low",IF(Table1[[#This Row],[units_sold]]&lt;150,"Low",IF(Table1[[#This Row],[units_sold]]&lt;300,"Medium","High")))</f>
        <v>Medium</v>
      </c>
      <c r="M114" t="str">
        <f t="shared" si="3"/>
        <v>Normal</v>
      </c>
      <c r="N114">
        <f>(Table1[[#This Row],[price]]*0.7)</f>
        <v>956.78099999999984</v>
      </c>
    </row>
    <row r="115" spans="1:14" x14ac:dyDescent="0.35">
      <c r="A115" t="str">
        <f t="shared" si="2"/>
        <v>P114</v>
      </c>
      <c r="B115" t="s">
        <v>13</v>
      </c>
      <c r="C115" t="s">
        <v>9</v>
      </c>
      <c r="D115">
        <v>940.89</v>
      </c>
      <c r="E115">
        <v>119</v>
      </c>
      <c r="F115">
        <v>2.2000000000000002</v>
      </c>
      <c r="G115" t="b">
        <v>0</v>
      </c>
      <c r="H115">
        <f>(Table1[[#This Row],[price]]*Table1[[#This Row],[units_sold]])</f>
        <v>111965.91</v>
      </c>
      <c r="I115" t="str">
        <f>IF(Table1[[#This Row],[in_stock]]=TRUE,"Available","Out of stock")</f>
        <v>Out of stock</v>
      </c>
      <c r="J115" t="str">
        <f>IF(Table1[[#This Row],[rating]]&gt;=4,"High",IF(Table1[[#This Row],[rating]]&gt;=2.5,"Medium","Low"))</f>
        <v>Low</v>
      </c>
      <c r="K115" t="str">
        <f>IF(Table1[[#This Row],[price]]&lt;200,"Budget",IF(Table1[[#This Row],[price]]&lt;600,"Mid-Range",IF(Table1[[#This Row],[price]]&lt;1000,"Premium","Luxury")))</f>
        <v>Premium</v>
      </c>
      <c r="L115" t="str">
        <f>IF(Table1[[#This Row],[units_sold]]&lt;50,"Very Low",IF(Table1[[#This Row],[units_sold]]&lt;150,"Low",IF(Table1[[#This Row],[units_sold]]&lt;300,"Medium","High")))</f>
        <v>Low</v>
      </c>
      <c r="M115" t="str">
        <f t="shared" si="3"/>
        <v>Normal</v>
      </c>
      <c r="N115">
        <f>(Table1[[#This Row],[price]]*0.7)</f>
        <v>658.62299999999993</v>
      </c>
    </row>
    <row r="116" spans="1:14" x14ac:dyDescent="0.35">
      <c r="A116" t="str">
        <f t="shared" si="2"/>
        <v>P115</v>
      </c>
      <c r="B116" t="s">
        <v>16</v>
      </c>
      <c r="C116" t="s">
        <v>9</v>
      </c>
      <c r="D116">
        <v>510.44</v>
      </c>
      <c r="E116">
        <v>39</v>
      </c>
      <c r="F116">
        <v>4.5999999999999996</v>
      </c>
      <c r="G116" t="b">
        <v>1</v>
      </c>
      <c r="H116">
        <f>(Table1[[#This Row],[price]]*Table1[[#This Row],[units_sold]])</f>
        <v>19907.16</v>
      </c>
      <c r="I116" t="str">
        <f>IF(Table1[[#This Row],[in_stock]]=TRUE,"Available","Out of stock")</f>
        <v>Available</v>
      </c>
      <c r="J116" t="str">
        <f>IF(Table1[[#This Row],[rating]]&gt;=4,"High",IF(Table1[[#This Row],[rating]]&gt;=2.5,"Medium","Low"))</f>
        <v>High</v>
      </c>
      <c r="K116" t="str">
        <f>IF(Table1[[#This Row],[price]]&lt;200,"Budget",IF(Table1[[#This Row],[price]]&lt;600,"Mid-Range",IF(Table1[[#This Row],[price]]&lt;1000,"Premium","Luxury")))</f>
        <v>Mid-Range</v>
      </c>
      <c r="L116" t="str">
        <f>IF(Table1[[#This Row],[units_sold]]&lt;50,"Very Low",IF(Table1[[#This Row],[units_sold]]&lt;150,"Low",IF(Table1[[#This Row],[units_sold]]&lt;300,"Medium","High")))</f>
        <v>Very Low</v>
      </c>
      <c r="M116" t="str">
        <f t="shared" si="3"/>
        <v>Normal</v>
      </c>
      <c r="N116">
        <f>(Table1[[#This Row],[price]]*0.7)</f>
        <v>357.30799999999999</v>
      </c>
    </row>
    <row r="117" spans="1:14" x14ac:dyDescent="0.35">
      <c r="A117" t="str">
        <f t="shared" si="2"/>
        <v>P116</v>
      </c>
      <c r="B117" t="s">
        <v>12</v>
      </c>
      <c r="C117" t="s">
        <v>7</v>
      </c>
      <c r="D117">
        <v>1239.4100000000001</v>
      </c>
      <c r="E117">
        <v>497</v>
      </c>
      <c r="F117">
        <v>1.5</v>
      </c>
      <c r="G117" t="b">
        <v>1</v>
      </c>
      <c r="H117">
        <f>(Table1[[#This Row],[price]]*Table1[[#This Row],[units_sold]])</f>
        <v>615986.77</v>
      </c>
      <c r="I117" t="str">
        <f>IF(Table1[[#This Row],[in_stock]]=TRUE,"Available","Out of stock")</f>
        <v>Available</v>
      </c>
      <c r="J117" t="str">
        <f>IF(Table1[[#This Row],[rating]]&gt;=4,"High",IF(Table1[[#This Row],[rating]]&gt;=2.5,"Medium","Low"))</f>
        <v>Low</v>
      </c>
      <c r="K117" t="str">
        <f>IF(Table1[[#This Row],[price]]&lt;200,"Budget",IF(Table1[[#This Row],[price]]&lt;600,"Mid-Range",IF(Table1[[#This Row],[price]]&lt;1000,"Premium","Luxury")))</f>
        <v>Luxury</v>
      </c>
      <c r="L117" t="str">
        <f>IF(Table1[[#This Row],[units_sold]]&lt;50,"Very Low",IF(Table1[[#This Row],[units_sold]]&lt;150,"Low",IF(Table1[[#This Row],[units_sold]]&lt;300,"Medium","High")))</f>
        <v>High</v>
      </c>
      <c r="M117" t="str">
        <f t="shared" si="3"/>
        <v>Normal</v>
      </c>
      <c r="N117">
        <f>(Table1[[#This Row],[price]]*0.7)</f>
        <v>867.58699999999999</v>
      </c>
    </row>
    <row r="118" spans="1:14" x14ac:dyDescent="0.35">
      <c r="A118" t="str">
        <f t="shared" si="2"/>
        <v>P117</v>
      </c>
      <c r="B118" t="s">
        <v>10</v>
      </c>
      <c r="C118" t="s">
        <v>9</v>
      </c>
      <c r="D118">
        <v>550.96</v>
      </c>
      <c r="E118">
        <v>268</v>
      </c>
      <c r="F118">
        <v>4.8</v>
      </c>
      <c r="G118" t="b">
        <v>1</v>
      </c>
      <c r="H118">
        <f>(Table1[[#This Row],[price]]*Table1[[#This Row],[units_sold]])</f>
        <v>147657.28</v>
      </c>
      <c r="I118" t="str">
        <f>IF(Table1[[#This Row],[in_stock]]=TRUE,"Available","Out of stock")</f>
        <v>Available</v>
      </c>
      <c r="J118" t="str">
        <f>IF(Table1[[#This Row],[rating]]&gt;=4,"High",IF(Table1[[#This Row],[rating]]&gt;=2.5,"Medium","Low"))</f>
        <v>High</v>
      </c>
      <c r="K118" t="str">
        <f>IF(Table1[[#This Row],[price]]&lt;200,"Budget",IF(Table1[[#This Row],[price]]&lt;600,"Mid-Range",IF(Table1[[#This Row],[price]]&lt;1000,"Premium","Luxury")))</f>
        <v>Mid-Range</v>
      </c>
      <c r="L118" t="str">
        <f>IF(Table1[[#This Row],[units_sold]]&lt;50,"Very Low",IF(Table1[[#This Row],[units_sold]]&lt;150,"Low",IF(Table1[[#This Row],[units_sold]]&lt;300,"Medium","High")))</f>
        <v>Medium</v>
      </c>
      <c r="M118" t="str">
        <f t="shared" si="3"/>
        <v>Normal</v>
      </c>
      <c r="N118">
        <f>(Table1[[#This Row],[price]]*0.7)</f>
        <v>385.67200000000003</v>
      </c>
    </row>
    <row r="119" spans="1:14" x14ac:dyDescent="0.35">
      <c r="A119" t="str">
        <f t="shared" si="2"/>
        <v>P118</v>
      </c>
      <c r="B119" t="s">
        <v>14</v>
      </c>
      <c r="C119" t="s">
        <v>9</v>
      </c>
      <c r="D119">
        <v>61</v>
      </c>
      <c r="E119">
        <v>233</v>
      </c>
      <c r="F119">
        <v>2.2999999999999998</v>
      </c>
      <c r="G119" t="b">
        <v>0</v>
      </c>
      <c r="H119">
        <f>(Table1[[#This Row],[price]]*Table1[[#This Row],[units_sold]])</f>
        <v>14213</v>
      </c>
      <c r="I119" t="str">
        <f>IF(Table1[[#This Row],[in_stock]]=TRUE,"Available","Out of stock")</f>
        <v>Out of stock</v>
      </c>
      <c r="J119" t="str">
        <f>IF(Table1[[#This Row],[rating]]&gt;=4,"High",IF(Table1[[#This Row],[rating]]&gt;=2.5,"Medium","Low"))</f>
        <v>Low</v>
      </c>
      <c r="K119" t="str">
        <f>IF(Table1[[#This Row],[price]]&lt;200,"Budget",IF(Table1[[#This Row],[price]]&lt;600,"Mid-Range",IF(Table1[[#This Row],[price]]&lt;1000,"Premium","Luxury")))</f>
        <v>Budget</v>
      </c>
      <c r="L119" t="str">
        <f>IF(Table1[[#This Row],[units_sold]]&lt;50,"Very Low",IF(Table1[[#This Row],[units_sold]]&lt;150,"Low",IF(Table1[[#This Row],[units_sold]]&lt;300,"Medium","High")))</f>
        <v>Medium</v>
      </c>
      <c r="M119" t="str">
        <f t="shared" si="3"/>
        <v>Normal</v>
      </c>
      <c r="N119">
        <f>(Table1[[#This Row],[price]]*0.7)</f>
        <v>42.699999999999996</v>
      </c>
    </row>
    <row r="120" spans="1:14" x14ac:dyDescent="0.35">
      <c r="A120" t="str">
        <f t="shared" si="2"/>
        <v>P119</v>
      </c>
      <c r="B120" t="s">
        <v>14</v>
      </c>
      <c r="C120" t="s">
        <v>9</v>
      </c>
      <c r="D120">
        <v>1247.68</v>
      </c>
      <c r="E120">
        <v>431</v>
      </c>
      <c r="F120">
        <v>4.5999999999999996</v>
      </c>
      <c r="G120" t="b">
        <v>1</v>
      </c>
      <c r="H120">
        <f>(Table1[[#This Row],[price]]*Table1[[#This Row],[units_sold]])</f>
        <v>537750.08000000007</v>
      </c>
      <c r="I120" t="str">
        <f>IF(Table1[[#This Row],[in_stock]]=TRUE,"Available","Out of stock")</f>
        <v>Available</v>
      </c>
      <c r="J120" t="str">
        <f>IF(Table1[[#This Row],[rating]]&gt;=4,"High",IF(Table1[[#This Row],[rating]]&gt;=2.5,"Medium","Low"))</f>
        <v>High</v>
      </c>
      <c r="K120" t="str">
        <f>IF(Table1[[#This Row],[price]]&lt;200,"Budget",IF(Table1[[#This Row],[price]]&lt;600,"Mid-Range",IF(Table1[[#This Row],[price]]&lt;1000,"Premium","Luxury")))</f>
        <v>Luxury</v>
      </c>
      <c r="L120" t="str">
        <f>IF(Table1[[#This Row],[units_sold]]&lt;50,"Very Low",IF(Table1[[#This Row],[units_sold]]&lt;150,"Low",IF(Table1[[#This Row],[units_sold]]&lt;300,"Medium","High")))</f>
        <v>High</v>
      </c>
      <c r="M120" t="str">
        <f t="shared" si="3"/>
        <v>Normal</v>
      </c>
      <c r="N120">
        <f>(Table1[[#This Row],[price]]*0.7)</f>
        <v>873.37599999999998</v>
      </c>
    </row>
    <row r="121" spans="1:14" x14ac:dyDescent="0.35">
      <c r="A121" t="str">
        <f t="shared" si="2"/>
        <v>P120</v>
      </c>
      <c r="B121" t="s">
        <v>8</v>
      </c>
      <c r="C121" t="s">
        <v>9</v>
      </c>
      <c r="D121">
        <v>524.34</v>
      </c>
      <c r="E121">
        <v>18</v>
      </c>
      <c r="F121">
        <v>3.4</v>
      </c>
      <c r="G121" t="b">
        <v>1</v>
      </c>
      <c r="H121">
        <f>(Table1[[#This Row],[price]]*Table1[[#This Row],[units_sold]])</f>
        <v>9438.1200000000008</v>
      </c>
      <c r="I121" t="str">
        <f>IF(Table1[[#This Row],[in_stock]]=TRUE,"Available","Out of stock")</f>
        <v>Available</v>
      </c>
      <c r="J121" t="str">
        <f>IF(Table1[[#This Row],[rating]]&gt;=4,"High",IF(Table1[[#This Row],[rating]]&gt;=2.5,"Medium","Low"))</f>
        <v>Medium</v>
      </c>
      <c r="K121" t="str">
        <f>IF(Table1[[#This Row],[price]]&lt;200,"Budget",IF(Table1[[#This Row],[price]]&lt;600,"Mid-Range",IF(Table1[[#This Row],[price]]&lt;1000,"Premium","Luxury")))</f>
        <v>Mid-Range</v>
      </c>
      <c r="L121" t="str">
        <f>IF(Table1[[#This Row],[units_sold]]&lt;50,"Very Low",IF(Table1[[#This Row],[units_sold]]&lt;150,"Low",IF(Table1[[#This Row],[units_sold]]&lt;300,"Medium","High")))</f>
        <v>Very Low</v>
      </c>
      <c r="M121" t="str">
        <f t="shared" si="3"/>
        <v>Normal</v>
      </c>
      <c r="N121">
        <f>(Table1[[#This Row],[price]]*0.7)</f>
        <v>367.03800000000001</v>
      </c>
    </row>
    <row r="122" spans="1:14" x14ac:dyDescent="0.35">
      <c r="A122" t="str">
        <f t="shared" si="2"/>
        <v>P121</v>
      </c>
      <c r="B122" t="s">
        <v>10</v>
      </c>
      <c r="C122" t="s">
        <v>9</v>
      </c>
      <c r="D122">
        <v>1163.01</v>
      </c>
      <c r="E122">
        <v>149</v>
      </c>
      <c r="F122">
        <v>4.3</v>
      </c>
      <c r="G122" t="b">
        <v>0</v>
      </c>
      <c r="H122">
        <f>(Table1[[#This Row],[price]]*Table1[[#This Row],[units_sold]])</f>
        <v>173288.49</v>
      </c>
      <c r="I122" t="str">
        <f>IF(Table1[[#This Row],[in_stock]]=TRUE,"Available","Out of stock")</f>
        <v>Out of stock</v>
      </c>
      <c r="J122" t="str">
        <f>IF(Table1[[#This Row],[rating]]&gt;=4,"High",IF(Table1[[#This Row],[rating]]&gt;=2.5,"Medium","Low"))</f>
        <v>High</v>
      </c>
      <c r="K122" t="str">
        <f>IF(Table1[[#This Row],[price]]&lt;200,"Budget",IF(Table1[[#This Row],[price]]&lt;600,"Mid-Range",IF(Table1[[#This Row],[price]]&lt;1000,"Premium","Luxury")))</f>
        <v>Luxury</v>
      </c>
      <c r="L122" t="str">
        <f>IF(Table1[[#This Row],[units_sold]]&lt;50,"Very Low",IF(Table1[[#This Row],[units_sold]]&lt;150,"Low",IF(Table1[[#This Row],[units_sold]]&lt;300,"Medium","High")))</f>
        <v>Low</v>
      </c>
      <c r="M122" t="str">
        <f t="shared" si="3"/>
        <v>Normal</v>
      </c>
      <c r="N122">
        <f>(Table1[[#This Row],[price]]*0.7)</f>
        <v>814.10699999999997</v>
      </c>
    </row>
    <row r="123" spans="1:14" x14ac:dyDescent="0.35">
      <c r="A123" t="str">
        <f t="shared" si="2"/>
        <v>P122</v>
      </c>
      <c r="B123" t="s">
        <v>10</v>
      </c>
      <c r="C123" t="s">
        <v>9</v>
      </c>
      <c r="D123">
        <v>550.51</v>
      </c>
      <c r="E123">
        <v>397</v>
      </c>
      <c r="F123">
        <v>4.9000000000000004</v>
      </c>
      <c r="G123" t="b">
        <v>1</v>
      </c>
      <c r="H123">
        <f>(Table1[[#This Row],[price]]*Table1[[#This Row],[units_sold]])</f>
        <v>218552.47</v>
      </c>
      <c r="I123" t="str">
        <f>IF(Table1[[#This Row],[in_stock]]=TRUE,"Available","Out of stock")</f>
        <v>Available</v>
      </c>
      <c r="J123" t="str">
        <f>IF(Table1[[#This Row],[rating]]&gt;=4,"High",IF(Table1[[#This Row],[rating]]&gt;=2.5,"Medium","Low"))</f>
        <v>High</v>
      </c>
      <c r="K123" t="str">
        <f>IF(Table1[[#This Row],[price]]&lt;200,"Budget",IF(Table1[[#This Row],[price]]&lt;600,"Mid-Range",IF(Table1[[#This Row],[price]]&lt;1000,"Premium","Luxury")))</f>
        <v>Mid-Range</v>
      </c>
      <c r="L123" t="str">
        <f>IF(Table1[[#This Row],[units_sold]]&lt;50,"Very Low",IF(Table1[[#This Row],[units_sold]]&lt;150,"Low",IF(Table1[[#This Row],[units_sold]]&lt;300,"Medium","High")))</f>
        <v>High</v>
      </c>
      <c r="M123" t="str">
        <f t="shared" si="3"/>
        <v>Normal</v>
      </c>
      <c r="N123">
        <f>(Table1[[#This Row],[price]]*0.7)</f>
        <v>385.35699999999997</v>
      </c>
    </row>
    <row r="124" spans="1:14" x14ac:dyDescent="0.35">
      <c r="A124" t="str">
        <f t="shared" si="2"/>
        <v>P123</v>
      </c>
      <c r="B124" t="s">
        <v>13</v>
      </c>
      <c r="C124" t="s">
        <v>9</v>
      </c>
      <c r="D124">
        <v>1292.99</v>
      </c>
      <c r="E124">
        <v>149</v>
      </c>
      <c r="F124">
        <v>2.2000000000000002</v>
      </c>
      <c r="G124" t="b">
        <v>1</v>
      </c>
      <c r="H124">
        <f>(Table1[[#This Row],[price]]*Table1[[#This Row],[units_sold]])</f>
        <v>192655.51</v>
      </c>
      <c r="I124" t="str">
        <f>IF(Table1[[#This Row],[in_stock]]=TRUE,"Available","Out of stock")</f>
        <v>Available</v>
      </c>
      <c r="J124" t="str">
        <f>IF(Table1[[#This Row],[rating]]&gt;=4,"High",IF(Table1[[#This Row],[rating]]&gt;=2.5,"Medium","Low"))</f>
        <v>Low</v>
      </c>
      <c r="K124" t="str">
        <f>IF(Table1[[#This Row],[price]]&lt;200,"Budget",IF(Table1[[#This Row],[price]]&lt;600,"Mid-Range",IF(Table1[[#This Row],[price]]&lt;1000,"Premium","Luxury")))</f>
        <v>Luxury</v>
      </c>
      <c r="L124" t="str">
        <f>IF(Table1[[#This Row],[units_sold]]&lt;50,"Very Low",IF(Table1[[#This Row],[units_sold]]&lt;150,"Low",IF(Table1[[#This Row],[units_sold]]&lt;300,"Medium","High")))</f>
        <v>Low</v>
      </c>
      <c r="M124" t="str">
        <f t="shared" si="3"/>
        <v>Normal</v>
      </c>
      <c r="N124">
        <f>(Table1[[#This Row],[price]]*0.7)</f>
        <v>905.09299999999996</v>
      </c>
    </row>
    <row r="125" spans="1:14" x14ac:dyDescent="0.35">
      <c r="A125" t="str">
        <f t="shared" si="2"/>
        <v>P124</v>
      </c>
      <c r="B125" t="s">
        <v>14</v>
      </c>
      <c r="C125" t="s">
        <v>9</v>
      </c>
      <c r="D125">
        <v>337.07</v>
      </c>
      <c r="E125">
        <v>126</v>
      </c>
      <c r="F125">
        <v>4.8</v>
      </c>
      <c r="G125" t="b">
        <v>1</v>
      </c>
      <c r="H125">
        <f>(Table1[[#This Row],[price]]*Table1[[#This Row],[units_sold]])</f>
        <v>42470.82</v>
      </c>
      <c r="I125" t="str">
        <f>IF(Table1[[#This Row],[in_stock]]=TRUE,"Available","Out of stock")</f>
        <v>Available</v>
      </c>
      <c r="J125" t="str">
        <f>IF(Table1[[#This Row],[rating]]&gt;=4,"High",IF(Table1[[#This Row],[rating]]&gt;=2.5,"Medium","Low"))</f>
        <v>High</v>
      </c>
      <c r="K125" t="str">
        <f>IF(Table1[[#This Row],[price]]&lt;200,"Budget",IF(Table1[[#This Row],[price]]&lt;600,"Mid-Range",IF(Table1[[#This Row],[price]]&lt;1000,"Premium","Luxury")))</f>
        <v>Mid-Range</v>
      </c>
      <c r="L125" t="str">
        <f>IF(Table1[[#This Row],[units_sold]]&lt;50,"Very Low",IF(Table1[[#This Row],[units_sold]]&lt;150,"Low",IF(Table1[[#This Row],[units_sold]]&lt;300,"Medium","High")))</f>
        <v>Low</v>
      </c>
      <c r="M125" t="str">
        <f t="shared" si="3"/>
        <v>Normal</v>
      </c>
      <c r="N125">
        <f>(Table1[[#This Row],[price]]*0.7)</f>
        <v>235.94899999999998</v>
      </c>
    </row>
    <row r="126" spans="1:14" x14ac:dyDescent="0.35">
      <c r="A126" t="str">
        <f t="shared" si="2"/>
        <v>P125</v>
      </c>
      <c r="B126" t="s">
        <v>16</v>
      </c>
      <c r="C126" t="s">
        <v>9</v>
      </c>
      <c r="D126">
        <v>1462.08</v>
      </c>
      <c r="E126">
        <v>392</v>
      </c>
      <c r="F126">
        <v>2.6</v>
      </c>
      <c r="G126" t="b">
        <v>1</v>
      </c>
      <c r="H126">
        <f>(Table1[[#This Row],[price]]*Table1[[#This Row],[units_sold]])</f>
        <v>573135.35999999999</v>
      </c>
      <c r="I126" t="str">
        <f>IF(Table1[[#This Row],[in_stock]]=TRUE,"Available","Out of stock")</f>
        <v>Available</v>
      </c>
      <c r="J126" t="str">
        <f>IF(Table1[[#This Row],[rating]]&gt;=4,"High",IF(Table1[[#This Row],[rating]]&gt;=2.5,"Medium","Low"))</f>
        <v>Medium</v>
      </c>
      <c r="K126" t="str">
        <f>IF(Table1[[#This Row],[price]]&lt;200,"Budget",IF(Table1[[#This Row],[price]]&lt;600,"Mid-Range",IF(Table1[[#This Row],[price]]&lt;1000,"Premium","Luxury")))</f>
        <v>Luxury</v>
      </c>
      <c r="L126" t="str">
        <f>IF(Table1[[#This Row],[units_sold]]&lt;50,"Very Low",IF(Table1[[#This Row],[units_sold]]&lt;150,"Low",IF(Table1[[#This Row],[units_sold]]&lt;300,"Medium","High")))</f>
        <v>High</v>
      </c>
      <c r="M126" t="str">
        <f t="shared" si="3"/>
        <v>Normal</v>
      </c>
      <c r="N126">
        <f>(Table1[[#This Row],[price]]*0.7)</f>
        <v>1023.4559999999999</v>
      </c>
    </row>
    <row r="127" spans="1:14" x14ac:dyDescent="0.35">
      <c r="A127" t="str">
        <f t="shared" si="2"/>
        <v>P126</v>
      </c>
      <c r="B127" t="s">
        <v>17</v>
      </c>
      <c r="C127" t="s">
        <v>7</v>
      </c>
      <c r="D127">
        <v>1171.8399999999999</v>
      </c>
      <c r="E127">
        <v>302</v>
      </c>
      <c r="F127">
        <v>2.5</v>
      </c>
      <c r="G127" t="b">
        <v>1</v>
      </c>
      <c r="H127">
        <f>(Table1[[#This Row],[price]]*Table1[[#This Row],[units_sold]])</f>
        <v>353895.67999999999</v>
      </c>
      <c r="I127" t="str">
        <f>IF(Table1[[#This Row],[in_stock]]=TRUE,"Available","Out of stock")</f>
        <v>Available</v>
      </c>
      <c r="J127" t="str">
        <f>IF(Table1[[#This Row],[rating]]&gt;=4,"High",IF(Table1[[#This Row],[rating]]&gt;=2.5,"Medium","Low"))</f>
        <v>Medium</v>
      </c>
      <c r="K127" t="str">
        <f>IF(Table1[[#This Row],[price]]&lt;200,"Budget",IF(Table1[[#This Row],[price]]&lt;600,"Mid-Range",IF(Table1[[#This Row],[price]]&lt;1000,"Premium","Luxury")))</f>
        <v>Luxury</v>
      </c>
      <c r="L127" t="str">
        <f>IF(Table1[[#This Row],[units_sold]]&lt;50,"Very Low",IF(Table1[[#This Row],[units_sold]]&lt;150,"Low",IF(Table1[[#This Row],[units_sold]]&lt;300,"Medium","High")))</f>
        <v>High</v>
      </c>
      <c r="M127" t="str">
        <f t="shared" si="3"/>
        <v>Normal</v>
      </c>
      <c r="N127">
        <f>(Table1[[#This Row],[price]]*0.7)</f>
        <v>820.2879999999999</v>
      </c>
    </row>
    <row r="128" spans="1:14" x14ac:dyDescent="0.35">
      <c r="A128" t="str">
        <f t="shared" si="2"/>
        <v>P127</v>
      </c>
      <c r="B128" t="s">
        <v>17</v>
      </c>
      <c r="C128" t="s">
        <v>7</v>
      </c>
      <c r="D128">
        <v>180.21</v>
      </c>
      <c r="E128">
        <v>360</v>
      </c>
      <c r="F128">
        <v>2.4</v>
      </c>
      <c r="G128" t="b">
        <v>1</v>
      </c>
      <c r="H128">
        <f>(Table1[[#This Row],[price]]*Table1[[#This Row],[units_sold]])</f>
        <v>64875.600000000006</v>
      </c>
      <c r="I128" t="str">
        <f>IF(Table1[[#This Row],[in_stock]]=TRUE,"Available","Out of stock")</f>
        <v>Available</v>
      </c>
      <c r="J128" t="str">
        <f>IF(Table1[[#This Row],[rating]]&gt;=4,"High",IF(Table1[[#This Row],[rating]]&gt;=2.5,"Medium","Low"))</f>
        <v>Low</v>
      </c>
      <c r="K128" t="str">
        <f>IF(Table1[[#This Row],[price]]&lt;200,"Budget",IF(Table1[[#This Row],[price]]&lt;600,"Mid-Range",IF(Table1[[#This Row],[price]]&lt;1000,"Premium","Luxury")))</f>
        <v>Budget</v>
      </c>
      <c r="L128" t="str">
        <f>IF(Table1[[#This Row],[units_sold]]&lt;50,"Very Low",IF(Table1[[#This Row],[units_sold]]&lt;150,"Low",IF(Table1[[#This Row],[units_sold]]&lt;300,"Medium","High")))</f>
        <v>High</v>
      </c>
      <c r="M128" t="str">
        <f t="shared" si="3"/>
        <v>Normal</v>
      </c>
      <c r="N128">
        <f>(Table1[[#This Row],[price]]*0.7)</f>
        <v>126.14699999999999</v>
      </c>
    </row>
    <row r="129" spans="1:14" x14ac:dyDescent="0.35">
      <c r="A129" t="str">
        <f t="shared" si="2"/>
        <v>P128</v>
      </c>
      <c r="B129" t="s">
        <v>12</v>
      </c>
      <c r="C129" t="s">
        <v>7</v>
      </c>
      <c r="D129">
        <v>853.01</v>
      </c>
      <c r="E129">
        <v>238</v>
      </c>
      <c r="F129">
        <v>3.2</v>
      </c>
      <c r="G129" t="b">
        <v>0</v>
      </c>
      <c r="H129">
        <f>(Table1[[#This Row],[price]]*Table1[[#This Row],[units_sold]])</f>
        <v>203016.38</v>
      </c>
      <c r="I129" t="str">
        <f>IF(Table1[[#This Row],[in_stock]]=TRUE,"Available","Out of stock")</f>
        <v>Out of stock</v>
      </c>
      <c r="J129" t="str">
        <f>IF(Table1[[#This Row],[rating]]&gt;=4,"High",IF(Table1[[#This Row],[rating]]&gt;=2.5,"Medium","Low"))</f>
        <v>Medium</v>
      </c>
      <c r="K129" t="str">
        <f>IF(Table1[[#This Row],[price]]&lt;200,"Budget",IF(Table1[[#This Row],[price]]&lt;600,"Mid-Range",IF(Table1[[#This Row],[price]]&lt;1000,"Premium","Luxury")))</f>
        <v>Premium</v>
      </c>
      <c r="L129" t="str">
        <f>IF(Table1[[#This Row],[units_sold]]&lt;50,"Very Low",IF(Table1[[#This Row],[units_sold]]&lt;150,"Low",IF(Table1[[#This Row],[units_sold]]&lt;300,"Medium","High")))</f>
        <v>Medium</v>
      </c>
      <c r="M129" t="str">
        <f t="shared" si="3"/>
        <v>Normal</v>
      </c>
      <c r="N129">
        <f>(Table1[[#This Row],[price]]*0.7)</f>
        <v>597.10699999999997</v>
      </c>
    </row>
    <row r="130" spans="1:14" x14ac:dyDescent="0.35">
      <c r="A130" t="str">
        <f t="shared" ref="A130:A193" si="4">"P"&amp;TEXT(ROW()-1,"000")</f>
        <v>P129</v>
      </c>
      <c r="B130" t="s">
        <v>14</v>
      </c>
      <c r="C130" t="s">
        <v>9</v>
      </c>
      <c r="D130">
        <v>1478.2</v>
      </c>
      <c r="E130">
        <v>135</v>
      </c>
      <c r="F130">
        <v>1.6</v>
      </c>
      <c r="G130" t="b">
        <v>0</v>
      </c>
      <c r="H130">
        <f>(Table1[[#This Row],[price]]*Table1[[#This Row],[units_sold]])</f>
        <v>199557</v>
      </c>
      <c r="I130" t="str">
        <f>IF(Table1[[#This Row],[in_stock]]=TRUE,"Available","Out of stock")</f>
        <v>Out of stock</v>
      </c>
      <c r="J130" t="str">
        <f>IF(Table1[[#This Row],[rating]]&gt;=4,"High",IF(Table1[[#This Row],[rating]]&gt;=2.5,"Medium","Low"))</f>
        <v>Low</v>
      </c>
      <c r="K130" t="str">
        <f>IF(Table1[[#This Row],[price]]&lt;200,"Budget",IF(Table1[[#This Row],[price]]&lt;600,"Mid-Range",IF(Table1[[#This Row],[price]]&lt;1000,"Premium","Luxury")))</f>
        <v>Luxury</v>
      </c>
      <c r="L130" t="str">
        <f>IF(Table1[[#This Row],[units_sold]]&lt;50,"Very Low",IF(Table1[[#This Row],[units_sold]]&lt;150,"Low",IF(Table1[[#This Row],[units_sold]]&lt;300,"Medium","High")))</f>
        <v>Low</v>
      </c>
      <c r="M130" t="str">
        <f t="shared" ref="M130:M193" si="5">IF(AND(E130&gt;300,G130=FALSE),"High Demand - Out of Stock","Normal")</f>
        <v>Normal</v>
      </c>
      <c r="N130">
        <f>(Table1[[#This Row],[price]]*0.7)</f>
        <v>1034.74</v>
      </c>
    </row>
    <row r="131" spans="1:14" x14ac:dyDescent="0.35">
      <c r="A131" t="str">
        <f t="shared" si="4"/>
        <v>P130</v>
      </c>
      <c r="B131" t="s">
        <v>14</v>
      </c>
      <c r="C131" t="s">
        <v>9</v>
      </c>
      <c r="D131">
        <v>711.89</v>
      </c>
      <c r="E131">
        <v>151</v>
      </c>
      <c r="F131">
        <v>3.2</v>
      </c>
      <c r="G131" t="b">
        <v>1</v>
      </c>
      <c r="H131">
        <f>(Table1[[#This Row],[price]]*Table1[[#This Row],[units_sold]])</f>
        <v>107495.39</v>
      </c>
      <c r="I131" t="str">
        <f>IF(Table1[[#This Row],[in_stock]]=TRUE,"Available","Out of stock")</f>
        <v>Available</v>
      </c>
      <c r="J131" t="str">
        <f>IF(Table1[[#This Row],[rating]]&gt;=4,"High",IF(Table1[[#This Row],[rating]]&gt;=2.5,"Medium","Low"))</f>
        <v>Medium</v>
      </c>
      <c r="K131" t="str">
        <f>IF(Table1[[#This Row],[price]]&lt;200,"Budget",IF(Table1[[#This Row],[price]]&lt;600,"Mid-Range",IF(Table1[[#This Row],[price]]&lt;1000,"Premium","Luxury")))</f>
        <v>Premium</v>
      </c>
      <c r="L131" t="str">
        <f>IF(Table1[[#This Row],[units_sold]]&lt;50,"Very Low",IF(Table1[[#This Row],[units_sold]]&lt;150,"Low",IF(Table1[[#This Row],[units_sold]]&lt;300,"Medium","High")))</f>
        <v>Medium</v>
      </c>
      <c r="M131" t="str">
        <f t="shared" si="5"/>
        <v>Normal</v>
      </c>
      <c r="N131">
        <f>(Table1[[#This Row],[price]]*0.7)</f>
        <v>498.32299999999998</v>
      </c>
    </row>
    <row r="132" spans="1:14" x14ac:dyDescent="0.35">
      <c r="A132" t="str">
        <f t="shared" si="4"/>
        <v>P131</v>
      </c>
      <c r="B132" t="s">
        <v>17</v>
      </c>
      <c r="C132" t="s">
        <v>7</v>
      </c>
      <c r="D132">
        <v>281.33999999999997</v>
      </c>
      <c r="E132">
        <v>236</v>
      </c>
      <c r="F132">
        <v>3.2</v>
      </c>
      <c r="G132" t="b">
        <v>1</v>
      </c>
      <c r="H132">
        <f>(Table1[[#This Row],[price]]*Table1[[#This Row],[units_sold]])</f>
        <v>66396.239999999991</v>
      </c>
      <c r="I132" t="str">
        <f>IF(Table1[[#This Row],[in_stock]]=TRUE,"Available","Out of stock")</f>
        <v>Available</v>
      </c>
      <c r="J132" t="str">
        <f>IF(Table1[[#This Row],[rating]]&gt;=4,"High",IF(Table1[[#This Row],[rating]]&gt;=2.5,"Medium","Low"))</f>
        <v>Medium</v>
      </c>
      <c r="K132" t="str">
        <f>IF(Table1[[#This Row],[price]]&lt;200,"Budget",IF(Table1[[#This Row],[price]]&lt;600,"Mid-Range",IF(Table1[[#This Row],[price]]&lt;1000,"Premium","Luxury")))</f>
        <v>Mid-Range</v>
      </c>
      <c r="L132" t="str">
        <f>IF(Table1[[#This Row],[units_sold]]&lt;50,"Very Low",IF(Table1[[#This Row],[units_sold]]&lt;150,"Low",IF(Table1[[#This Row],[units_sold]]&lt;300,"Medium","High")))</f>
        <v>Medium</v>
      </c>
      <c r="M132" t="str">
        <f t="shared" si="5"/>
        <v>Normal</v>
      </c>
      <c r="N132">
        <f>(Table1[[#This Row],[price]]*0.7)</f>
        <v>196.93799999999996</v>
      </c>
    </row>
    <row r="133" spans="1:14" x14ac:dyDescent="0.35">
      <c r="A133" t="str">
        <f t="shared" si="4"/>
        <v>P132</v>
      </c>
      <c r="B133" t="s">
        <v>14</v>
      </c>
      <c r="C133" t="s">
        <v>9</v>
      </c>
      <c r="D133">
        <v>732.32</v>
      </c>
      <c r="E133">
        <v>224</v>
      </c>
      <c r="F133">
        <v>4</v>
      </c>
      <c r="G133" t="b">
        <v>1</v>
      </c>
      <c r="H133">
        <f>(Table1[[#This Row],[price]]*Table1[[#This Row],[units_sold]])</f>
        <v>164039.68000000002</v>
      </c>
      <c r="I133" t="str">
        <f>IF(Table1[[#This Row],[in_stock]]=TRUE,"Available","Out of stock")</f>
        <v>Available</v>
      </c>
      <c r="J133" t="str">
        <f>IF(Table1[[#This Row],[rating]]&gt;=4,"High",IF(Table1[[#This Row],[rating]]&gt;=2.5,"Medium","Low"))</f>
        <v>High</v>
      </c>
      <c r="K133" t="str">
        <f>IF(Table1[[#This Row],[price]]&lt;200,"Budget",IF(Table1[[#This Row],[price]]&lt;600,"Mid-Range",IF(Table1[[#This Row],[price]]&lt;1000,"Premium","Luxury")))</f>
        <v>Premium</v>
      </c>
      <c r="L133" t="str">
        <f>IF(Table1[[#This Row],[units_sold]]&lt;50,"Very Low",IF(Table1[[#This Row],[units_sold]]&lt;150,"Low",IF(Table1[[#This Row],[units_sold]]&lt;300,"Medium","High")))</f>
        <v>Medium</v>
      </c>
      <c r="M133" t="str">
        <f t="shared" si="5"/>
        <v>Normal</v>
      </c>
      <c r="N133">
        <f>(Table1[[#This Row],[price]]*0.7)</f>
        <v>512.62400000000002</v>
      </c>
    </row>
    <row r="134" spans="1:14" x14ac:dyDescent="0.35">
      <c r="A134" t="str">
        <f t="shared" si="4"/>
        <v>P133</v>
      </c>
      <c r="B134" t="s">
        <v>13</v>
      </c>
      <c r="C134" t="s">
        <v>9</v>
      </c>
      <c r="D134">
        <v>773.56</v>
      </c>
      <c r="E134">
        <v>203</v>
      </c>
      <c r="F134">
        <v>4.3</v>
      </c>
      <c r="G134" t="b">
        <v>0</v>
      </c>
      <c r="H134">
        <f>(Table1[[#This Row],[price]]*Table1[[#This Row],[units_sold]])</f>
        <v>157032.68</v>
      </c>
      <c r="I134" t="str">
        <f>IF(Table1[[#This Row],[in_stock]]=TRUE,"Available","Out of stock")</f>
        <v>Out of stock</v>
      </c>
      <c r="J134" t="str">
        <f>IF(Table1[[#This Row],[rating]]&gt;=4,"High",IF(Table1[[#This Row],[rating]]&gt;=2.5,"Medium","Low"))</f>
        <v>High</v>
      </c>
      <c r="K134" t="str">
        <f>IF(Table1[[#This Row],[price]]&lt;200,"Budget",IF(Table1[[#This Row],[price]]&lt;600,"Mid-Range",IF(Table1[[#This Row],[price]]&lt;1000,"Premium","Luxury")))</f>
        <v>Premium</v>
      </c>
      <c r="L134" t="str">
        <f>IF(Table1[[#This Row],[units_sold]]&lt;50,"Very Low",IF(Table1[[#This Row],[units_sold]]&lt;150,"Low",IF(Table1[[#This Row],[units_sold]]&lt;300,"Medium","High")))</f>
        <v>Medium</v>
      </c>
      <c r="M134" t="str">
        <f t="shared" si="5"/>
        <v>Normal</v>
      </c>
      <c r="N134">
        <f>(Table1[[#This Row],[price]]*0.7)</f>
        <v>541.49199999999996</v>
      </c>
    </row>
    <row r="135" spans="1:14" x14ac:dyDescent="0.35">
      <c r="A135" t="str">
        <f t="shared" si="4"/>
        <v>P134</v>
      </c>
      <c r="B135" t="s">
        <v>15</v>
      </c>
      <c r="C135" t="s">
        <v>7</v>
      </c>
      <c r="D135">
        <v>1115.1099999999999</v>
      </c>
      <c r="E135">
        <v>256</v>
      </c>
      <c r="F135">
        <v>2.8</v>
      </c>
      <c r="G135" t="b">
        <v>0</v>
      </c>
      <c r="H135">
        <f>(Table1[[#This Row],[price]]*Table1[[#This Row],[units_sold]])</f>
        <v>285468.15999999997</v>
      </c>
      <c r="I135" t="str">
        <f>IF(Table1[[#This Row],[in_stock]]=TRUE,"Available","Out of stock")</f>
        <v>Out of stock</v>
      </c>
      <c r="J135" t="str">
        <f>IF(Table1[[#This Row],[rating]]&gt;=4,"High",IF(Table1[[#This Row],[rating]]&gt;=2.5,"Medium","Low"))</f>
        <v>Medium</v>
      </c>
      <c r="K135" t="str">
        <f>IF(Table1[[#This Row],[price]]&lt;200,"Budget",IF(Table1[[#This Row],[price]]&lt;600,"Mid-Range",IF(Table1[[#This Row],[price]]&lt;1000,"Premium","Luxury")))</f>
        <v>Luxury</v>
      </c>
      <c r="L135" t="str">
        <f>IF(Table1[[#This Row],[units_sold]]&lt;50,"Very Low",IF(Table1[[#This Row],[units_sold]]&lt;150,"Low",IF(Table1[[#This Row],[units_sold]]&lt;300,"Medium","High")))</f>
        <v>Medium</v>
      </c>
      <c r="M135" t="str">
        <f t="shared" si="5"/>
        <v>Normal</v>
      </c>
      <c r="N135">
        <f>(Table1[[#This Row],[price]]*0.7)</f>
        <v>780.57699999999988</v>
      </c>
    </row>
    <row r="136" spans="1:14" x14ac:dyDescent="0.35">
      <c r="A136" t="str">
        <f t="shared" si="4"/>
        <v>P135</v>
      </c>
      <c r="B136" t="s">
        <v>11</v>
      </c>
      <c r="C136" t="s">
        <v>9</v>
      </c>
      <c r="D136">
        <v>1051.28</v>
      </c>
      <c r="E136">
        <v>86</v>
      </c>
      <c r="F136">
        <v>2.2000000000000002</v>
      </c>
      <c r="G136" t="b">
        <v>1</v>
      </c>
      <c r="H136">
        <f>(Table1[[#This Row],[price]]*Table1[[#This Row],[units_sold]])</f>
        <v>90410.08</v>
      </c>
      <c r="I136" t="str">
        <f>IF(Table1[[#This Row],[in_stock]]=TRUE,"Available","Out of stock")</f>
        <v>Available</v>
      </c>
      <c r="J136" t="str">
        <f>IF(Table1[[#This Row],[rating]]&gt;=4,"High",IF(Table1[[#This Row],[rating]]&gt;=2.5,"Medium","Low"))</f>
        <v>Low</v>
      </c>
      <c r="K136" t="str">
        <f>IF(Table1[[#This Row],[price]]&lt;200,"Budget",IF(Table1[[#This Row],[price]]&lt;600,"Mid-Range",IF(Table1[[#This Row],[price]]&lt;1000,"Premium","Luxury")))</f>
        <v>Luxury</v>
      </c>
      <c r="L136" t="str">
        <f>IF(Table1[[#This Row],[units_sold]]&lt;50,"Very Low",IF(Table1[[#This Row],[units_sold]]&lt;150,"Low",IF(Table1[[#This Row],[units_sold]]&lt;300,"Medium","High")))</f>
        <v>Low</v>
      </c>
      <c r="M136" t="str">
        <f t="shared" si="5"/>
        <v>Normal</v>
      </c>
      <c r="N136">
        <f>(Table1[[#This Row],[price]]*0.7)</f>
        <v>735.89599999999996</v>
      </c>
    </row>
    <row r="137" spans="1:14" x14ac:dyDescent="0.35">
      <c r="A137" t="str">
        <f t="shared" si="4"/>
        <v>P136</v>
      </c>
      <c r="B137" t="s">
        <v>10</v>
      </c>
      <c r="C137" t="s">
        <v>9</v>
      </c>
      <c r="D137">
        <v>609.79999999999995</v>
      </c>
      <c r="E137">
        <v>150</v>
      </c>
      <c r="F137">
        <v>2</v>
      </c>
      <c r="G137" t="b">
        <v>0</v>
      </c>
      <c r="H137">
        <f>(Table1[[#This Row],[price]]*Table1[[#This Row],[units_sold]])</f>
        <v>91470</v>
      </c>
      <c r="I137" t="str">
        <f>IF(Table1[[#This Row],[in_stock]]=TRUE,"Available","Out of stock")</f>
        <v>Out of stock</v>
      </c>
      <c r="J137" t="str">
        <f>IF(Table1[[#This Row],[rating]]&gt;=4,"High",IF(Table1[[#This Row],[rating]]&gt;=2.5,"Medium","Low"))</f>
        <v>Low</v>
      </c>
      <c r="K137" t="str">
        <f>IF(Table1[[#This Row],[price]]&lt;200,"Budget",IF(Table1[[#This Row],[price]]&lt;600,"Mid-Range",IF(Table1[[#This Row],[price]]&lt;1000,"Premium","Luxury")))</f>
        <v>Premium</v>
      </c>
      <c r="L137" t="str">
        <f>IF(Table1[[#This Row],[units_sold]]&lt;50,"Very Low",IF(Table1[[#This Row],[units_sold]]&lt;150,"Low",IF(Table1[[#This Row],[units_sold]]&lt;300,"Medium","High")))</f>
        <v>Medium</v>
      </c>
      <c r="M137" t="str">
        <f t="shared" si="5"/>
        <v>Normal</v>
      </c>
      <c r="N137">
        <f>(Table1[[#This Row],[price]]*0.7)</f>
        <v>426.85999999999996</v>
      </c>
    </row>
    <row r="138" spans="1:14" x14ac:dyDescent="0.35">
      <c r="A138" t="str">
        <f t="shared" si="4"/>
        <v>P137</v>
      </c>
      <c r="B138" t="s">
        <v>8</v>
      </c>
      <c r="C138" t="s">
        <v>9</v>
      </c>
      <c r="D138">
        <v>334.85</v>
      </c>
      <c r="E138">
        <v>235</v>
      </c>
      <c r="F138">
        <v>1.8</v>
      </c>
      <c r="G138" t="b">
        <v>1</v>
      </c>
      <c r="H138">
        <f>(Table1[[#This Row],[price]]*Table1[[#This Row],[units_sold]])</f>
        <v>78689.75</v>
      </c>
      <c r="I138" t="str">
        <f>IF(Table1[[#This Row],[in_stock]]=TRUE,"Available","Out of stock")</f>
        <v>Available</v>
      </c>
      <c r="J138" t="str">
        <f>IF(Table1[[#This Row],[rating]]&gt;=4,"High",IF(Table1[[#This Row],[rating]]&gt;=2.5,"Medium","Low"))</f>
        <v>Low</v>
      </c>
      <c r="K138" t="str">
        <f>IF(Table1[[#This Row],[price]]&lt;200,"Budget",IF(Table1[[#This Row],[price]]&lt;600,"Mid-Range",IF(Table1[[#This Row],[price]]&lt;1000,"Premium","Luxury")))</f>
        <v>Mid-Range</v>
      </c>
      <c r="L138" t="str">
        <f>IF(Table1[[#This Row],[units_sold]]&lt;50,"Very Low",IF(Table1[[#This Row],[units_sold]]&lt;150,"Low",IF(Table1[[#This Row],[units_sold]]&lt;300,"Medium","High")))</f>
        <v>Medium</v>
      </c>
      <c r="M138" t="str">
        <f t="shared" si="5"/>
        <v>Normal</v>
      </c>
      <c r="N138">
        <f>(Table1[[#This Row],[price]]*0.7)</f>
        <v>234.39500000000001</v>
      </c>
    </row>
    <row r="139" spans="1:14" x14ac:dyDescent="0.35">
      <c r="A139" t="str">
        <f t="shared" si="4"/>
        <v>P138</v>
      </c>
      <c r="B139" t="s">
        <v>12</v>
      </c>
      <c r="C139" t="s">
        <v>7</v>
      </c>
      <c r="D139">
        <v>971.13</v>
      </c>
      <c r="E139">
        <v>345</v>
      </c>
      <c r="F139">
        <v>1.2</v>
      </c>
      <c r="G139" t="b">
        <v>1</v>
      </c>
      <c r="H139">
        <f>(Table1[[#This Row],[price]]*Table1[[#This Row],[units_sold]])</f>
        <v>335039.84999999998</v>
      </c>
      <c r="I139" t="str">
        <f>IF(Table1[[#This Row],[in_stock]]=TRUE,"Available","Out of stock")</f>
        <v>Available</v>
      </c>
      <c r="J139" t="str">
        <f>IF(Table1[[#This Row],[rating]]&gt;=4,"High",IF(Table1[[#This Row],[rating]]&gt;=2.5,"Medium","Low"))</f>
        <v>Low</v>
      </c>
      <c r="K139" t="str">
        <f>IF(Table1[[#This Row],[price]]&lt;200,"Budget",IF(Table1[[#This Row],[price]]&lt;600,"Mid-Range",IF(Table1[[#This Row],[price]]&lt;1000,"Premium","Luxury")))</f>
        <v>Premium</v>
      </c>
      <c r="L139" t="str">
        <f>IF(Table1[[#This Row],[units_sold]]&lt;50,"Very Low",IF(Table1[[#This Row],[units_sold]]&lt;150,"Low",IF(Table1[[#This Row],[units_sold]]&lt;300,"Medium","High")))</f>
        <v>High</v>
      </c>
      <c r="M139" t="str">
        <f t="shared" si="5"/>
        <v>Normal</v>
      </c>
      <c r="N139">
        <f>(Table1[[#This Row],[price]]*0.7)</f>
        <v>679.79099999999994</v>
      </c>
    </row>
    <row r="140" spans="1:14" x14ac:dyDescent="0.35">
      <c r="A140" t="str">
        <f t="shared" si="4"/>
        <v>P139</v>
      </c>
      <c r="B140" t="s">
        <v>15</v>
      </c>
      <c r="C140" t="s">
        <v>7</v>
      </c>
      <c r="D140">
        <v>638.34</v>
      </c>
      <c r="E140">
        <v>22</v>
      </c>
      <c r="F140">
        <v>2.4</v>
      </c>
      <c r="G140" t="b">
        <v>1</v>
      </c>
      <c r="H140">
        <f>(Table1[[#This Row],[price]]*Table1[[#This Row],[units_sold]])</f>
        <v>14043.480000000001</v>
      </c>
      <c r="I140" t="str">
        <f>IF(Table1[[#This Row],[in_stock]]=TRUE,"Available","Out of stock")</f>
        <v>Available</v>
      </c>
      <c r="J140" t="str">
        <f>IF(Table1[[#This Row],[rating]]&gt;=4,"High",IF(Table1[[#This Row],[rating]]&gt;=2.5,"Medium","Low"))</f>
        <v>Low</v>
      </c>
      <c r="K140" t="str">
        <f>IF(Table1[[#This Row],[price]]&lt;200,"Budget",IF(Table1[[#This Row],[price]]&lt;600,"Mid-Range",IF(Table1[[#This Row],[price]]&lt;1000,"Premium","Luxury")))</f>
        <v>Premium</v>
      </c>
      <c r="L140" t="str">
        <f>IF(Table1[[#This Row],[units_sold]]&lt;50,"Very Low",IF(Table1[[#This Row],[units_sold]]&lt;150,"Low",IF(Table1[[#This Row],[units_sold]]&lt;300,"Medium","High")))</f>
        <v>Very Low</v>
      </c>
      <c r="M140" t="str">
        <f t="shared" si="5"/>
        <v>Normal</v>
      </c>
      <c r="N140">
        <f>(Table1[[#This Row],[price]]*0.7)</f>
        <v>446.83800000000002</v>
      </c>
    </row>
    <row r="141" spans="1:14" x14ac:dyDescent="0.35">
      <c r="A141" t="str">
        <f t="shared" si="4"/>
        <v>P140</v>
      </c>
      <c r="B141" t="s">
        <v>17</v>
      </c>
      <c r="C141" t="s">
        <v>7</v>
      </c>
      <c r="D141">
        <v>207.09</v>
      </c>
      <c r="E141">
        <v>348</v>
      </c>
      <c r="F141">
        <v>2.1</v>
      </c>
      <c r="G141" t="b">
        <v>1</v>
      </c>
      <c r="H141">
        <f>(Table1[[#This Row],[price]]*Table1[[#This Row],[units_sold]])</f>
        <v>72067.320000000007</v>
      </c>
      <c r="I141" t="str">
        <f>IF(Table1[[#This Row],[in_stock]]=TRUE,"Available","Out of stock")</f>
        <v>Available</v>
      </c>
      <c r="J141" t="str">
        <f>IF(Table1[[#This Row],[rating]]&gt;=4,"High",IF(Table1[[#This Row],[rating]]&gt;=2.5,"Medium","Low"))</f>
        <v>Low</v>
      </c>
      <c r="K141" t="str">
        <f>IF(Table1[[#This Row],[price]]&lt;200,"Budget",IF(Table1[[#This Row],[price]]&lt;600,"Mid-Range",IF(Table1[[#This Row],[price]]&lt;1000,"Premium","Luxury")))</f>
        <v>Mid-Range</v>
      </c>
      <c r="L141" t="str">
        <f>IF(Table1[[#This Row],[units_sold]]&lt;50,"Very Low",IF(Table1[[#This Row],[units_sold]]&lt;150,"Low",IF(Table1[[#This Row],[units_sold]]&lt;300,"Medium","High")))</f>
        <v>High</v>
      </c>
      <c r="M141" t="str">
        <f t="shared" si="5"/>
        <v>Normal</v>
      </c>
      <c r="N141">
        <f>(Table1[[#This Row],[price]]*0.7)</f>
        <v>144.96299999999999</v>
      </c>
    </row>
    <row r="142" spans="1:14" x14ac:dyDescent="0.35">
      <c r="A142" t="str">
        <f t="shared" si="4"/>
        <v>P141</v>
      </c>
      <c r="B142" t="s">
        <v>10</v>
      </c>
      <c r="C142" t="s">
        <v>9</v>
      </c>
      <c r="D142">
        <v>1351.85</v>
      </c>
      <c r="E142">
        <v>285</v>
      </c>
      <c r="F142">
        <v>4.9000000000000004</v>
      </c>
      <c r="G142" t="b">
        <v>1</v>
      </c>
      <c r="H142">
        <f>(Table1[[#This Row],[price]]*Table1[[#This Row],[units_sold]])</f>
        <v>385277.25</v>
      </c>
      <c r="I142" t="str">
        <f>IF(Table1[[#This Row],[in_stock]]=TRUE,"Available","Out of stock")</f>
        <v>Available</v>
      </c>
      <c r="J142" t="str">
        <f>IF(Table1[[#This Row],[rating]]&gt;=4,"High",IF(Table1[[#This Row],[rating]]&gt;=2.5,"Medium","Low"))</f>
        <v>High</v>
      </c>
      <c r="K142" t="str">
        <f>IF(Table1[[#This Row],[price]]&lt;200,"Budget",IF(Table1[[#This Row],[price]]&lt;600,"Mid-Range",IF(Table1[[#This Row],[price]]&lt;1000,"Premium","Luxury")))</f>
        <v>Luxury</v>
      </c>
      <c r="L142" t="str">
        <f>IF(Table1[[#This Row],[units_sold]]&lt;50,"Very Low",IF(Table1[[#This Row],[units_sold]]&lt;150,"Low",IF(Table1[[#This Row],[units_sold]]&lt;300,"Medium","High")))</f>
        <v>Medium</v>
      </c>
      <c r="M142" t="str">
        <f t="shared" si="5"/>
        <v>Normal</v>
      </c>
      <c r="N142">
        <f>(Table1[[#This Row],[price]]*0.7)</f>
        <v>946.29499999999985</v>
      </c>
    </row>
    <row r="143" spans="1:14" x14ac:dyDescent="0.35">
      <c r="A143" t="str">
        <f t="shared" si="4"/>
        <v>P142</v>
      </c>
      <c r="B143" t="s">
        <v>14</v>
      </c>
      <c r="C143" t="s">
        <v>9</v>
      </c>
      <c r="D143">
        <v>1039.92</v>
      </c>
      <c r="E143">
        <v>269</v>
      </c>
      <c r="F143">
        <v>3.2</v>
      </c>
      <c r="G143" t="b">
        <v>1</v>
      </c>
      <c r="H143">
        <f>(Table1[[#This Row],[price]]*Table1[[#This Row],[units_sold]])</f>
        <v>279738.48000000004</v>
      </c>
      <c r="I143" t="str">
        <f>IF(Table1[[#This Row],[in_stock]]=TRUE,"Available","Out of stock")</f>
        <v>Available</v>
      </c>
      <c r="J143" t="str">
        <f>IF(Table1[[#This Row],[rating]]&gt;=4,"High",IF(Table1[[#This Row],[rating]]&gt;=2.5,"Medium","Low"))</f>
        <v>Medium</v>
      </c>
      <c r="K143" t="str">
        <f>IF(Table1[[#This Row],[price]]&lt;200,"Budget",IF(Table1[[#This Row],[price]]&lt;600,"Mid-Range",IF(Table1[[#This Row],[price]]&lt;1000,"Premium","Luxury")))</f>
        <v>Luxury</v>
      </c>
      <c r="L143" t="str">
        <f>IF(Table1[[#This Row],[units_sold]]&lt;50,"Very Low",IF(Table1[[#This Row],[units_sold]]&lt;150,"Low",IF(Table1[[#This Row],[units_sold]]&lt;300,"Medium","High")))</f>
        <v>Medium</v>
      </c>
      <c r="M143" t="str">
        <f t="shared" si="5"/>
        <v>Normal</v>
      </c>
      <c r="N143">
        <f>(Table1[[#This Row],[price]]*0.7)</f>
        <v>727.94399999999996</v>
      </c>
    </row>
    <row r="144" spans="1:14" x14ac:dyDescent="0.35">
      <c r="A144" t="str">
        <f t="shared" si="4"/>
        <v>P143</v>
      </c>
      <c r="B144" t="s">
        <v>8</v>
      </c>
      <c r="C144" t="s">
        <v>9</v>
      </c>
      <c r="D144">
        <v>1027.94</v>
      </c>
      <c r="E144">
        <v>466</v>
      </c>
      <c r="F144">
        <v>2.4</v>
      </c>
      <c r="G144" t="b">
        <v>1</v>
      </c>
      <c r="H144">
        <f>(Table1[[#This Row],[price]]*Table1[[#This Row],[units_sold]])</f>
        <v>479020.04000000004</v>
      </c>
      <c r="I144" t="str">
        <f>IF(Table1[[#This Row],[in_stock]]=TRUE,"Available","Out of stock")</f>
        <v>Available</v>
      </c>
      <c r="J144" t="str">
        <f>IF(Table1[[#This Row],[rating]]&gt;=4,"High",IF(Table1[[#This Row],[rating]]&gt;=2.5,"Medium","Low"))</f>
        <v>Low</v>
      </c>
      <c r="K144" t="str">
        <f>IF(Table1[[#This Row],[price]]&lt;200,"Budget",IF(Table1[[#This Row],[price]]&lt;600,"Mid-Range",IF(Table1[[#This Row],[price]]&lt;1000,"Premium","Luxury")))</f>
        <v>Luxury</v>
      </c>
      <c r="L144" t="str">
        <f>IF(Table1[[#This Row],[units_sold]]&lt;50,"Very Low",IF(Table1[[#This Row],[units_sold]]&lt;150,"Low",IF(Table1[[#This Row],[units_sold]]&lt;300,"Medium","High")))</f>
        <v>High</v>
      </c>
      <c r="M144" t="str">
        <f t="shared" si="5"/>
        <v>Normal</v>
      </c>
      <c r="N144">
        <f>(Table1[[#This Row],[price]]*0.7)</f>
        <v>719.55799999999999</v>
      </c>
    </row>
    <row r="145" spans="1:14" x14ac:dyDescent="0.35">
      <c r="A145" t="str">
        <f t="shared" si="4"/>
        <v>P144</v>
      </c>
      <c r="B145" t="s">
        <v>14</v>
      </c>
      <c r="C145" t="s">
        <v>9</v>
      </c>
      <c r="D145">
        <v>1235.6500000000001</v>
      </c>
      <c r="E145">
        <v>258</v>
      </c>
      <c r="F145">
        <v>3.3</v>
      </c>
      <c r="G145" t="b">
        <v>0</v>
      </c>
      <c r="H145">
        <f>(Table1[[#This Row],[price]]*Table1[[#This Row],[units_sold]])</f>
        <v>318797.7</v>
      </c>
      <c r="I145" t="str">
        <f>IF(Table1[[#This Row],[in_stock]]=TRUE,"Available","Out of stock")</f>
        <v>Out of stock</v>
      </c>
      <c r="J145" t="str">
        <f>IF(Table1[[#This Row],[rating]]&gt;=4,"High",IF(Table1[[#This Row],[rating]]&gt;=2.5,"Medium","Low"))</f>
        <v>Medium</v>
      </c>
      <c r="K145" t="str">
        <f>IF(Table1[[#This Row],[price]]&lt;200,"Budget",IF(Table1[[#This Row],[price]]&lt;600,"Mid-Range",IF(Table1[[#This Row],[price]]&lt;1000,"Premium","Luxury")))</f>
        <v>Luxury</v>
      </c>
      <c r="L145" t="str">
        <f>IF(Table1[[#This Row],[units_sold]]&lt;50,"Very Low",IF(Table1[[#This Row],[units_sold]]&lt;150,"Low",IF(Table1[[#This Row],[units_sold]]&lt;300,"Medium","High")))</f>
        <v>Medium</v>
      </c>
      <c r="M145" t="str">
        <f t="shared" si="5"/>
        <v>Normal</v>
      </c>
      <c r="N145">
        <f>(Table1[[#This Row],[price]]*0.7)</f>
        <v>864.95500000000004</v>
      </c>
    </row>
    <row r="146" spans="1:14" x14ac:dyDescent="0.35">
      <c r="A146" t="str">
        <f t="shared" si="4"/>
        <v>P145</v>
      </c>
      <c r="B146" t="s">
        <v>16</v>
      </c>
      <c r="C146" t="s">
        <v>9</v>
      </c>
      <c r="D146">
        <v>799.2</v>
      </c>
      <c r="E146">
        <v>29</v>
      </c>
      <c r="F146">
        <v>1.6</v>
      </c>
      <c r="G146" t="b">
        <v>1</v>
      </c>
      <c r="H146">
        <f>(Table1[[#This Row],[price]]*Table1[[#This Row],[units_sold]])</f>
        <v>23176.800000000003</v>
      </c>
      <c r="I146" t="str">
        <f>IF(Table1[[#This Row],[in_stock]]=TRUE,"Available","Out of stock")</f>
        <v>Available</v>
      </c>
      <c r="J146" t="str">
        <f>IF(Table1[[#This Row],[rating]]&gt;=4,"High",IF(Table1[[#This Row],[rating]]&gt;=2.5,"Medium","Low"))</f>
        <v>Low</v>
      </c>
      <c r="K146" t="str">
        <f>IF(Table1[[#This Row],[price]]&lt;200,"Budget",IF(Table1[[#This Row],[price]]&lt;600,"Mid-Range",IF(Table1[[#This Row],[price]]&lt;1000,"Premium","Luxury")))</f>
        <v>Premium</v>
      </c>
      <c r="L146" t="str">
        <f>IF(Table1[[#This Row],[units_sold]]&lt;50,"Very Low",IF(Table1[[#This Row],[units_sold]]&lt;150,"Low",IF(Table1[[#This Row],[units_sold]]&lt;300,"Medium","High")))</f>
        <v>Very Low</v>
      </c>
      <c r="M146" t="str">
        <f t="shared" si="5"/>
        <v>Normal</v>
      </c>
      <c r="N146">
        <f>(Table1[[#This Row],[price]]*0.7)</f>
        <v>559.43999999999994</v>
      </c>
    </row>
    <row r="147" spans="1:14" x14ac:dyDescent="0.35">
      <c r="A147" t="str">
        <f t="shared" si="4"/>
        <v>P146</v>
      </c>
      <c r="B147" t="s">
        <v>16</v>
      </c>
      <c r="C147" t="s">
        <v>9</v>
      </c>
      <c r="D147">
        <v>1224.43</v>
      </c>
      <c r="E147">
        <v>213</v>
      </c>
      <c r="F147">
        <v>2.8</v>
      </c>
      <c r="G147" t="b">
        <v>1</v>
      </c>
      <c r="H147">
        <f>(Table1[[#This Row],[price]]*Table1[[#This Row],[units_sold]])</f>
        <v>260803.59000000003</v>
      </c>
      <c r="I147" t="str">
        <f>IF(Table1[[#This Row],[in_stock]]=TRUE,"Available","Out of stock")</f>
        <v>Available</v>
      </c>
      <c r="J147" t="str">
        <f>IF(Table1[[#This Row],[rating]]&gt;=4,"High",IF(Table1[[#This Row],[rating]]&gt;=2.5,"Medium","Low"))</f>
        <v>Medium</v>
      </c>
      <c r="K147" t="str">
        <f>IF(Table1[[#This Row],[price]]&lt;200,"Budget",IF(Table1[[#This Row],[price]]&lt;600,"Mid-Range",IF(Table1[[#This Row],[price]]&lt;1000,"Premium","Luxury")))</f>
        <v>Luxury</v>
      </c>
      <c r="L147" t="str">
        <f>IF(Table1[[#This Row],[units_sold]]&lt;50,"Very Low",IF(Table1[[#This Row],[units_sold]]&lt;150,"Low",IF(Table1[[#This Row],[units_sold]]&lt;300,"Medium","High")))</f>
        <v>Medium</v>
      </c>
      <c r="M147" t="str">
        <f t="shared" si="5"/>
        <v>Normal</v>
      </c>
      <c r="N147">
        <f>(Table1[[#This Row],[price]]*0.7)</f>
        <v>857.101</v>
      </c>
    </row>
    <row r="148" spans="1:14" x14ac:dyDescent="0.35">
      <c r="A148" t="str">
        <f t="shared" si="4"/>
        <v>P147</v>
      </c>
      <c r="B148" t="s">
        <v>8</v>
      </c>
      <c r="C148" t="s">
        <v>9</v>
      </c>
      <c r="D148">
        <v>752.16</v>
      </c>
      <c r="E148">
        <v>463</v>
      </c>
      <c r="F148">
        <v>3.5</v>
      </c>
      <c r="G148" t="b">
        <v>1</v>
      </c>
      <c r="H148">
        <f>(Table1[[#This Row],[price]]*Table1[[#This Row],[units_sold]])</f>
        <v>348250.07999999996</v>
      </c>
      <c r="I148" t="str">
        <f>IF(Table1[[#This Row],[in_stock]]=TRUE,"Available","Out of stock")</f>
        <v>Available</v>
      </c>
      <c r="J148" t="str">
        <f>IF(Table1[[#This Row],[rating]]&gt;=4,"High",IF(Table1[[#This Row],[rating]]&gt;=2.5,"Medium","Low"))</f>
        <v>Medium</v>
      </c>
      <c r="K148" t="str">
        <f>IF(Table1[[#This Row],[price]]&lt;200,"Budget",IF(Table1[[#This Row],[price]]&lt;600,"Mid-Range",IF(Table1[[#This Row],[price]]&lt;1000,"Premium","Luxury")))</f>
        <v>Premium</v>
      </c>
      <c r="L148" t="str">
        <f>IF(Table1[[#This Row],[units_sold]]&lt;50,"Very Low",IF(Table1[[#This Row],[units_sold]]&lt;150,"Low",IF(Table1[[#This Row],[units_sold]]&lt;300,"Medium","High")))</f>
        <v>High</v>
      </c>
      <c r="M148" t="str">
        <f t="shared" si="5"/>
        <v>Normal</v>
      </c>
      <c r="N148">
        <f>(Table1[[#This Row],[price]]*0.7)</f>
        <v>526.51199999999994</v>
      </c>
    </row>
    <row r="149" spans="1:14" x14ac:dyDescent="0.35">
      <c r="A149" t="str">
        <f t="shared" si="4"/>
        <v>P148</v>
      </c>
      <c r="B149" t="s">
        <v>8</v>
      </c>
      <c r="C149" t="s">
        <v>9</v>
      </c>
      <c r="D149">
        <v>110.09</v>
      </c>
      <c r="E149">
        <v>436</v>
      </c>
      <c r="F149">
        <v>3</v>
      </c>
      <c r="G149" t="b">
        <v>1</v>
      </c>
      <c r="H149">
        <f>(Table1[[#This Row],[price]]*Table1[[#This Row],[units_sold]])</f>
        <v>47999.24</v>
      </c>
      <c r="I149" t="str">
        <f>IF(Table1[[#This Row],[in_stock]]=TRUE,"Available","Out of stock")</f>
        <v>Available</v>
      </c>
      <c r="J149" t="str">
        <f>IF(Table1[[#This Row],[rating]]&gt;=4,"High",IF(Table1[[#This Row],[rating]]&gt;=2.5,"Medium","Low"))</f>
        <v>Medium</v>
      </c>
      <c r="K149" t="str">
        <f>IF(Table1[[#This Row],[price]]&lt;200,"Budget",IF(Table1[[#This Row],[price]]&lt;600,"Mid-Range",IF(Table1[[#This Row],[price]]&lt;1000,"Premium","Luxury")))</f>
        <v>Budget</v>
      </c>
      <c r="L149" t="str">
        <f>IF(Table1[[#This Row],[units_sold]]&lt;50,"Very Low",IF(Table1[[#This Row],[units_sold]]&lt;150,"Low",IF(Table1[[#This Row],[units_sold]]&lt;300,"Medium","High")))</f>
        <v>High</v>
      </c>
      <c r="M149" t="str">
        <f t="shared" si="5"/>
        <v>Normal</v>
      </c>
      <c r="N149">
        <f>(Table1[[#This Row],[price]]*0.7)</f>
        <v>77.063000000000002</v>
      </c>
    </row>
    <row r="150" spans="1:14" x14ac:dyDescent="0.35">
      <c r="A150" t="str">
        <f t="shared" si="4"/>
        <v>P149</v>
      </c>
      <c r="B150" t="s">
        <v>17</v>
      </c>
      <c r="C150" t="s">
        <v>7</v>
      </c>
      <c r="D150">
        <v>613.82000000000005</v>
      </c>
      <c r="E150">
        <v>283</v>
      </c>
      <c r="F150">
        <v>2.6</v>
      </c>
      <c r="G150" t="b">
        <v>1</v>
      </c>
      <c r="H150">
        <f>(Table1[[#This Row],[price]]*Table1[[#This Row],[units_sold]])</f>
        <v>173711.06000000003</v>
      </c>
      <c r="I150" t="str">
        <f>IF(Table1[[#This Row],[in_stock]]=TRUE,"Available","Out of stock")</f>
        <v>Available</v>
      </c>
      <c r="J150" t="str">
        <f>IF(Table1[[#This Row],[rating]]&gt;=4,"High",IF(Table1[[#This Row],[rating]]&gt;=2.5,"Medium","Low"))</f>
        <v>Medium</v>
      </c>
      <c r="K150" t="str">
        <f>IF(Table1[[#This Row],[price]]&lt;200,"Budget",IF(Table1[[#This Row],[price]]&lt;600,"Mid-Range",IF(Table1[[#This Row],[price]]&lt;1000,"Premium","Luxury")))</f>
        <v>Premium</v>
      </c>
      <c r="L150" t="str">
        <f>IF(Table1[[#This Row],[units_sold]]&lt;50,"Very Low",IF(Table1[[#This Row],[units_sold]]&lt;150,"Low",IF(Table1[[#This Row],[units_sold]]&lt;300,"Medium","High")))</f>
        <v>Medium</v>
      </c>
      <c r="M150" t="str">
        <f t="shared" si="5"/>
        <v>Normal</v>
      </c>
      <c r="N150">
        <f>(Table1[[#This Row],[price]]*0.7)</f>
        <v>429.67400000000004</v>
      </c>
    </row>
    <row r="151" spans="1:14" x14ac:dyDescent="0.35">
      <c r="A151" t="str">
        <f t="shared" si="4"/>
        <v>P150</v>
      </c>
      <c r="B151" t="s">
        <v>8</v>
      </c>
      <c r="C151" t="s">
        <v>9</v>
      </c>
      <c r="D151">
        <v>751.22</v>
      </c>
      <c r="E151">
        <v>50</v>
      </c>
      <c r="F151">
        <v>5</v>
      </c>
      <c r="G151" t="b">
        <v>1</v>
      </c>
      <c r="H151">
        <f>(Table1[[#This Row],[price]]*Table1[[#This Row],[units_sold]])</f>
        <v>37561</v>
      </c>
      <c r="I151" t="str">
        <f>IF(Table1[[#This Row],[in_stock]]=TRUE,"Available","Out of stock")</f>
        <v>Available</v>
      </c>
      <c r="J151" t="str">
        <f>IF(Table1[[#This Row],[rating]]&gt;=4,"High",IF(Table1[[#This Row],[rating]]&gt;=2.5,"Medium","Low"))</f>
        <v>High</v>
      </c>
      <c r="K151" t="str">
        <f>IF(Table1[[#This Row],[price]]&lt;200,"Budget",IF(Table1[[#This Row],[price]]&lt;600,"Mid-Range",IF(Table1[[#This Row],[price]]&lt;1000,"Premium","Luxury")))</f>
        <v>Premium</v>
      </c>
      <c r="L151" t="str">
        <f>IF(Table1[[#This Row],[units_sold]]&lt;50,"Very Low",IF(Table1[[#This Row],[units_sold]]&lt;150,"Low",IF(Table1[[#This Row],[units_sold]]&lt;300,"Medium","High")))</f>
        <v>Low</v>
      </c>
      <c r="M151" t="str">
        <f t="shared" si="5"/>
        <v>Normal</v>
      </c>
      <c r="N151">
        <f>(Table1[[#This Row],[price]]*0.7)</f>
        <v>525.85400000000004</v>
      </c>
    </row>
    <row r="152" spans="1:14" x14ac:dyDescent="0.35">
      <c r="A152" t="str">
        <f t="shared" si="4"/>
        <v>P151</v>
      </c>
      <c r="B152" t="s">
        <v>13</v>
      </c>
      <c r="C152" t="s">
        <v>9</v>
      </c>
      <c r="D152">
        <v>1083.0999999999999</v>
      </c>
      <c r="E152">
        <v>95</v>
      </c>
      <c r="F152">
        <v>4.5</v>
      </c>
      <c r="G152" t="b">
        <v>1</v>
      </c>
      <c r="H152">
        <f>(Table1[[#This Row],[price]]*Table1[[#This Row],[units_sold]])</f>
        <v>102894.49999999999</v>
      </c>
      <c r="I152" t="str">
        <f>IF(Table1[[#This Row],[in_stock]]=TRUE,"Available","Out of stock")</f>
        <v>Available</v>
      </c>
      <c r="J152" t="str">
        <f>IF(Table1[[#This Row],[rating]]&gt;=4,"High",IF(Table1[[#This Row],[rating]]&gt;=2.5,"Medium","Low"))</f>
        <v>High</v>
      </c>
      <c r="K152" t="str">
        <f>IF(Table1[[#This Row],[price]]&lt;200,"Budget",IF(Table1[[#This Row],[price]]&lt;600,"Mid-Range",IF(Table1[[#This Row],[price]]&lt;1000,"Premium","Luxury")))</f>
        <v>Luxury</v>
      </c>
      <c r="L152" t="str">
        <f>IF(Table1[[#This Row],[units_sold]]&lt;50,"Very Low",IF(Table1[[#This Row],[units_sold]]&lt;150,"Low",IF(Table1[[#This Row],[units_sold]]&lt;300,"Medium","High")))</f>
        <v>Low</v>
      </c>
      <c r="M152" t="str">
        <f t="shared" si="5"/>
        <v>Normal</v>
      </c>
      <c r="N152">
        <f>(Table1[[#This Row],[price]]*0.7)</f>
        <v>758.16999999999985</v>
      </c>
    </row>
    <row r="153" spans="1:14" x14ac:dyDescent="0.35">
      <c r="A153" t="str">
        <f t="shared" si="4"/>
        <v>P152</v>
      </c>
      <c r="B153" t="s">
        <v>14</v>
      </c>
      <c r="C153" t="s">
        <v>9</v>
      </c>
      <c r="D153">
        <v>168.8</v>
      </c>
      <c r="E153">
        <v>463</v>
      </c>
      <c r="F153">
        <v>3.5</v>
      </c>
      <c r="G153" t="b">
        <v>1</v>
      </c>
      <c r="H153">
        <f>(Table1[[#This Row],[price]]*Table1[[#This Row],[units_sold]])</f>
        <v>78154.400000000009</v>
      </c>
      <c r="I153" t="str">
        <f>IF(Table1[[#This Row],[in_stock]]=TRUE,"Available","Out of stock")</f>
        <v>Available</v>
      </c>
      <c r="J153" t="str">
        <f>IF(Table1[[#This Row],[rating]]&gt;=4,"High",IF(Table1[[#This Row],[rating]]&gt;=2.5,"Medium","Low"))</f>
        <v>Medium</v>
      </c>
      <c r="K153" t="str">
        <f>IF(Table1[[#This Row],[price]]&lt;200,"Budget",IF(Table1[[#This Row],[price]]&lt;600,"Mid-Range",IF(Table1[[#This Row],[price]]&lt;1000,"Premium","Luxury")))</f>
        <v>Budget</v>
      </c>
      <c r="L153" t="str">
        <f>IF(Table1[[#This Row],[units_sold]]&lt;50,"Very Low",IF(Table1[[#This Row],[units_sold]]&lt;150,"Low",IF(Table1[[#This Row],[units_sold]]&lt;300,"Medium","High")))</f>
        <v>High</v>
      </c>
      <c r="M153" t="str">
        <f t="shared" si="5"/>
        <v>Normal</v>
      </c>
      <c r="N153">
        <f>(Table1[[#This Row],[price]]*0.7)</f>
        <v>118.16</v>
      </c>
    </row>
    <row r="154" spans="1:14" x14ac:dyDescent="0.35">
      <c r="A154" t="str">
        <f t="shared" si="4"/>
        <v>P153</v>
      </c>
      <c r="B154" t="s">
        <v>15</v>
      </c>
      <c r="C154" t="s">
        <v>7</v>
      </c>
      <c r="D154">
        <v>218.63</v>
      </c>
      <c r="E154">
        <v>499</v>
      </c>
      <c r="F154">
        <v>3.3</v>
      </c>
      <c r="G154" t="b">
        <v>1</v>
      </c>
      <c r="H154">
        <f>(Table1[[#This Row],[price]]*Table1[[#This Row],[units_sold]])</f>
        <v>109096.37</v>
      </c>
      <c r="I154" t="str">
        <f>IF(Table1[[#This Row],[in_stock]]=TRUE,"Available","Out of stock")</f>
        <v>Available</v>
      </c>
      <c r="J154" t="str">
        <f>IF(Table1[[#This Row],[rating]]&gt;=4,"High",IF(Table1[[#This Row],[rating]]&gt;=2.5,"Medium","Low"))</f>
        <v>Medium</v>
      </c>
      <c r="K154" t="str">
        <f>IF(Table1[[#This Row],[price]]&lt;200,"Budget",IF(Table1[[#This Row],[price]]&lt;600,"Mid-Range",IF(Table1[[#This Row],[price]]&lt;1000,"Premium","Luxury")))</f>
        <v>Mid-Range</v>
      </c>
      <c r="L154" t="str">
        <f>IF(Table1[[#This Row],[units_sold]]&lt;50,"Very Low",IF(Table1[[#This Row],[units_sold]]&lt;150,"Low",IF(Table1[[#This Row],[units_sold]]&lt;300,"Medium","High")))</f>
        <v>High</v>
      </c>
      <c r="M154" t="str">
        <f t="shared" si="5"/>
        <v>Normal</v>
      </c>
      <c r="N154">
        <f>(Table1[[#This Row],[price]]*0.7)</f>
        <v>153.041</v>
      </c>
    </row>
    <row r="155" spans="1:14" x14ac:dyDescent="0.35">
      <c r="A155" t="str">
        <f t="shared" si="4"/>
        <v>P154</v>
      </c>
      <c r="B155" t="s">
        <v>6</v>
      </c>
      <c r="C155" t="s">
        <v>7</v>
      </c>
      <c r="D155">
        <v>402.89</v>
      </c>
      <c r="E155">
        <v>407</v>
      </c>
      <c r="F155">
        <v>3.5</v>
      </c>
      <c r="G155" t="b">
        <v>1</v>
      </c>
      <c r="H155">
        <f>(Table1[[#This Row],[price]]*Table1[[#This Row],[units_sold]])</f>
        <v>163976.22999999998</v>
      </c>
      <c r="I155" t="str">
        <f>IF(Table1[[#This Row],[in_stock]]=TRUE,"Available","Out of stock")</f>
        <v>Available</v>
      </c>
      <c r="J155" t="str">
        <f>IF(Table1[[#This Row],[rating]]&gt;=4,"High",IF(Table1[[#This Row],[rating]]&gt;=2.5,"Medium","Low"))</f>
        <v>Medium</v>
      </c>
      <c r="K155" t="str">
        <f>IF(Table1[[#This Row],[price]]&lt;200,"Budget",IF(Table1[[#This Row],[price]]&lt;600,"Mid-Range",IF(Table1[[#This Row],[price]]&lt;1000,"Premium","Luxury")))</f>
        <v>Mid-Range</v>
      </c>
      <c r="L155" t="str">
        <f>IF(Table1[[#This Row],[units_sold]]&lt;50,"Very Low",IF(Table1[[#This Row],[units_sold]]&lt;150,"Low",IF(Table1[[#This Row],[units_sold]]&lt;300,"Medium","High")))</f>
        <v>High</v>
      </c>
      <c r="M155" t="str">
        <f t="shared" si="5"/>
        <v>Normal</v>
      </c>
      <c r="N155">
        <f>(Table1[[#This Row],[price]]*0.7)</f>
        <v>282.02299999999997</v>
      </c>
    </row>
    <row r="156" spans="1:14" x14ac:dyDescent="0.35">
      <c r="A156" t="str">
        <f t="shared" si="4"/>
        <v>P155</v>
      </c>
      <c r="B156" t="s">
        <v>8</v>
      </c>
      <c r="C156" t="s">
        <v>9</v>
      </c>
      <c r="D156">
        <v>407.08</v>
      </c>
      <c r="E156">
        <v>88</v>
      </c>
      <c r="F156">
        <v>1.8</v>
      </c>
      <c r="G156" t="b">
        <v>1</v>
      </c>
      <c r="H156">
        <f>(Table1[[#This Row],[price]]*Table1[[#This Row],[units_sold]])</f>
        <v>35823.040000000001</v>
      </c>
      <c r="I156" t="str">
        <f>IF(Table1[[#This Row],[in_stock]]=TRUE,"Available","Out of stock")</f>
        <v>Available</v>
      </c>
      <c r="J156" t="str">
        <f>IF(Table1[[#This Row],[rating]]&gt;=4,"High",IF(Table1[[#This Row],[rating]]&gt;=2.5,"Medium","Low"))</f>
        <v>Low</v>
      </c>
      <c r="K156" t="str">
        <f>IF(Table1[[#This Row],[price]]&lt;200,"Budget",IF(Table1[[#This Row],[price]]&lt;600,"Mid-Range",IF(Table1[[#This Row],[price]]&lt;1000,"Premium","Luxury")))</f>
        <v>Mid-Range</v>
      </c>
      <c r="L156" t="str">
        <f>IF(Table1[[#This Row],[units_sold]]&lt;50,"Very Low",IF(Table1[[#This Row],[units_sold]]&lt;150,"Low",IF(Table1[[#This Row],[units_sold]]&lt;300,"Medium","High")))</f>
        <v>Low</v>
      </c>
      <c r="M156" t="str">
        <f t="shared" si="5"/>
        <v>Normal</v>
      </c>
      <c r="N156">
        <f>(Table1[[#This Row],[price]]*0.7)</f>
        <v>284.95599999999996</v>
      </c>
    </row>
    <row r="157" spans="1:14" x14ac:dyDescent="0.35">
      <c r="A157" t="str">
        <f t="shared" si="4"/>
        <v>P156</v>
      </c>
      <c r="B157" t="s">
        <v>12</v>
      </c>
      <c r="C157" t="s">
        <v>7</v>
      </c>
      <c r="D157">
        <v>1100.96</v>
      </c>
      <c r="E157">
        <v>44</v>
      </c>
      <c r="F157">
        <v>2.6</v>
      </c>
      <c r="G157" t="b">
        <v>1</v>
      </c>
      <c r="H157">
        <f>(Table1[[#This Row],[price]]*Table1[[#This Row],[units_sold]])</f>
        <v>48442.240000000005</v>
      </c>
      <c r="I157" t="str">
        <f>IF(Table1[[#This Row],[in_stock]]=TRUE,"Available","Out of stock")</f>
        <v>Available</v>
      </c>
      <c r="J157" t="str">
        <f>IF(Table1[[#This Row],[rating]]&gt;=4,"High",IF(Table1[[#This Row],[rating]]&gt;=2.5,"Medium","Low"))</f>
        <v>Medium</v>
      </c>
      <c r="K157" t="str">
        <f>IF(Table1[[#This Row],[price]]&lt;200,"Budget",IF(Table1[[#This Row],[price]]&lt;600,"Mid-Range",IF(Table1[[#This Row],[price]]&lt;1000,"Premium","Luxury")))</f>
        <v>Luxury</v>
      </c>
      <c r="L157" t="str">
        <f>IF(Table1[[#This Row],[units_sold]]&lt;50,"Very Low",IF(Table1[[#This Row],[units_sold]]&lt;150,"Low",IF(Table1[[#This Row],[units_sold]]&lt;300,"Medium","High")))</f>
        <v>Very Low</v>
      </c>
      <c r="M157" t="str">
        <f t="shared" si="5"/>
        <v>Normal</v>
      </c>
      <c r="N157">
        <f>(Table1[[#This Row],[price]]*0.7)</f>
        <v>770.67200000000003</v>
      </c>
    </row>
    <row r="158" spans="1:14" x14ac:dyDescent="0.35">
      <c r="A158" t="str">
        <f t="shared" si="4"/>
        <v>P157</v>
      </c>
      <c r="B158" t="s">
        <v>16</v>
      </c>
      <c r="C158" t="s">
        <v>9</v>
      </c>
      <c r="D158">
        <v>383.59</v>
      </c>
      <c r="E158">
        <v>461</v>
      </c>
      <c r="F158">
        <v>1.2</v>
      </c>
      <c r="G158" t="b">
        <v>1</v>
      </c>
      <c r="H158">
        <f>(Table1[[#This Row],[price]]*Table1[[#This Row],[units_sold]])</f>
        <v>176834.99</v>
      </c>
      <c r="I158" t="str">
        <f>IF(Table1[[#This Row],[in_stock]]=TRUE,"Available","Out of stock")</f>
        <v>Available</v>
      </c>
      <c r="J158" t="str">
        <f>IF(Table1[[#This Row],[rating]]&gt;=4,"High",IF(Table1[[#This Row],[rating]]&gt;=2.5,"Medium","Low"))</f>
        <v>Low</v>
      </c>
      <c r="K158" t="str">
        <f>IF(Table1[[#This Row],[price]]&lt;200,"Budget",IF(Table1[[#This Row],[price]]&lt;600,"Mid-Range",IF(Table1[[#This Row],[price]]&lt;1000,"Premium","Luxury")))</f>
        <v>Mid-Range</v>
      </c>
      <c r="L158" t="str">
        <f>IF(Table1[[#This Row],[units_sold]]&lt;50,"Very Low",IF(Table1[[#This Row],[units_sold]]&lt;150,"Low",IF(Table1[[#This Row],[units_sold]]&lt;300,"Medium","High")))</f>
        <v>High</v>
      </c>
      <c r="M158" t="str">
        <f t="shared" si="5"/>
        <v>Normal</v>
      </c>
      <c r="N158">
        <f>(Table1[[#This Row],[price]]*0.7)</f>
        <v>268.51299999999998</v>
      </c>
    </row>
    <row r="159" spans="1:14" x14ac:dyDescent="0.35">
      <c r="A159" t="str">
        <f t="shared" si="4"/>
        <v>P158</v>
      </c>
      <c r="B159" t="s">
        <v>13</v>
      </c>
      <c r="C159" t="s">
        <v>9</v>
      </c>
      <c r="D159">
        <v>953.32</v>
      </c>
      <c r="E159">
        <v>278</v>
      </c>
      <c r="F159">
        <v>2.9</v>
      </c>
      <c r="G159" t="b">
        <v>0</v>
      </c>
      <c r="H159">
        <f>(Table1[[#This Row],[price]]*Table1[[#This Row],[units_sold]])</f>
        <v>265022.96000000002</v>
      </c>
      <c r="I159" t="str">
        <f>IF(Table1[[#This Row],[in_stock]]=TRUE,"Available","Out of stock")</f>
        <v>Out of stock</v>
      </c>
      <c r="J159" t="str">
        <f>IF(Table1[[#This Row],[rating]]&gt;=4,"High",IF(Table1[[#This Row],[rating]]&gt;=2.5,"Medium","Low"))</f>
        <v>Medium</v>
      </c>
      <c r="K159" t="str">
        <f>IF(Table1[[#This Row],[price]]&lt;200,"Budget",IF(Table1[[#This Row],[price]]&lt;600,"Mid-Range",IF(Table1[[#This Row],[price]]&lt;1000,"Premium","Luxury")))</f>
        <v>Premium</v>
      </c>
      <c r="L159" t="str">
        <f>IF(Table1[[#This Row],[units_sold]]&lt;50,"Very Low",IF(Table1[[#This Row],[units_sold]]&lt;150,"Low",IF(Table1[[#This Row],[units_sold]]&lt;300,"Medium","High")))</f>
        <v>Medium</v>
      </c>
      <c r="M159" t="str">
        <f t="shared" si="5"/>
        <v>Normal</v>
      </c>
      <c r="N159">
        <f>(Table1[[#This Row],[price]]*0.7)</f>
        <v>667.32399999999996</v>
      </c>
    </row>
    <row r="160" spans="1:14" x14ac:dyDescent="0.35">
      <c r="A160" t="str">
        <f t="shared" si="4"/>
        <v>P159</v>
      </c>
      <c r="B160" t="s">
        <v>10</v>
      </c>
      <c r="C160" t="s">
        <v>9</v>
      </c>
      <c r="D160">
        <v>746.47</v>
      </c>
      <c r="E160">
        <v>171</v>
      </c>
      <c r="F160">
        <v>3.2</v>
      </c>
      <c r="G160" t="b">
        <v>1</v>
      </c>
      <c r="H160">
        <f>(Table1[[#This Row],[price]]*Table1[[#This Row],[units_sold]])</f>
        <v>127646.37000000001</v>
      </c>
      <c r="I160" t="str">
        <f>IF(Table1[[#This Row],[in_stock]]=TRUE,"Available","Out of stock")</f>
        <v>Available</v>
      </c>
      <c r="J160" t="str">
        <f>IF(Table1[[#This Row],[rating]]&gt;=4,"High",IF(Table1[[#This Row],[rating]]&gt;=2.5,"Medium","Low"))</f>
        <v>Medium</v>
      </c>
      <c r="K160" t="str">
        <f>IF(Table1[[#This Row],[price]]&lt;200,"Budget",IF(Table1[[#This Row],[price]]&lt;600,"Mid-Range",IF(Table1[[#This Row],[price]]&lt;1000,"Premium","Luxury")))</f>
        <v>Premium</v>
      </c>
      <c r="L160" t="str">
        <f>IF(Table1[[#This Row],[units_sold]]&lt;50,"Very Low",IF(Table1[[#This Row],[units_sold]]&lt;150,"Low",IF(Table1[[#This Row],[units_sold]]&lt;300,"Medium","High")))</f>
        <v>Medium</v>
      </c>
      <c r="M160" t="str">
        <f t="shared" si="5"/>
        <v>Normal</v>
      </c>
      <c r="N160">
        <f>(Table1[[#This Row],[price]]*0.7)</f>
        <v>522.529</v>
      </c>
    </row>
    <row r="161" spans="1:14" x14ac:dyDescent="0.35">
      <c r="A161" t="str">
        <f t="shared" si="4"/>
        <v>P160</v>
      </c>
      <c r="B161" t="s">
        <v>6</v>
      </c>
      <c r="C161" t="s">
        <v>7</v>
      </c>
      <c r="D161">
        <v>864.21</v>
      </c>
      <c r="E161">
        <v>421</v>
      </c>
      <c r="F161">
        <v>1.9</v>
      </c>
      <c r="G161" t="b">
        <v>1</v>
      </c>
      <c r="H161">
        <f>(Table1[[#This Row],[price]]*Table1[[#This Row],[units_sold]])</f>
        <v>363832.41000000003</v>
      </c>
      <c r="I161" t="str">
        <f>IF(Table1[[#This Row],[in_stock]]=TRUE,"Available","Out of stock")</f>
        <v>Available</v>
      </c>
      <c r="J161" t="str">
        <f>IF(Table1[[#This Row],[rating]]&gt;=4,"High",IF(Table1[[#This Row],[rating]]&gt;=2.5,"Medium","Low"))</f>
        <v>Low</v>
      </c>
      <c r="K161" t="str">
        <f>IF(Table1[[#This Row],[price]]&lt;200,"Budget",IF(Table1[[#This Row],[price]]&lt;600,"Mid-Range",IF(Table1[[#This Row],[price]]&lt;1000,"Premium","Luxury")))</f>
        <v>Premium</v>
      </c>
      <c r="L161" t="str">
        <f>IF(Table1[[#This Row],[units_sold]]&lt;50,"Very Low",IF(Table1[[#This Row],[units_sold]]&lt;150,"Low",IF(Table1[[#This Row],[units_sold]]&lt;300,"Medium","High")))</f>
        <v>High</v>
      </c>
      <c r="M161" t="str">
        <f t="shared" si="5"/>
        <v>Normal</v>
      </c>
      <c r="N161">
        <f>(Table1[[#This Row],[price]]*0.7)</f>
        <v>604.947</v>
      </c>
    </row>
    <row r="162" spans="1:14" x14ac:dyDescent="0.35">
      <c r="A162" t="str">
        <f t="shared" si="4"/>
        <v>P161</v>
      </c>
      <c r="B162" t="s">
        <v>15</v>
      </c>
      <c r="C162" t="s">
        <v>7</v>
      </c>
      <c r="D162">
        <v>1258.78</v>
      </c>
      <c r="E162">
        <v>189</v>
      </c>
      <c r="F162">
        <v>4.9000000000000004</v>
      </c>
      <c r="G162" t="b">
        <v>1</v>
      </c>
      <c r="H162">
        <f>(Table1[[#This Row],[price]]*Table1[[#This Row],[units_sold]])</f>
        <v>237909.41999999998</v>
      </c>
      <c r="I162" t="str">
        <f>IF(Table1[[#This Row],[in_stock]]=TRUE,"Available","Out of stock")</f>
        <v>Available</v>
      </c>
      <c r="J162" t="str">
        <f>IF(Table1[[#This Row],[rating]]&gt;=4,"High",IF(Table1[[#This Row],[rating]]&gt;=2.5,"Medium","Low"))</f>
        <v>High</v>
      </c>
      <c r="K162" t="str">
        <f>IF(Table1[[#This Row],[price]]&lt;200,"Budget",IF(Table1[[#This Row],[price]]&lt;600,"Mid-Range",IF(Table1[[#This Row],[price]]&lt;1000,"Premium","Luxury")))</f>
        <v>Luxury</v>
      </c>
      <c r="L162" t="str">
        <f>IF(Table1[[#This Row],[units_sold]]&lt;50,"Very Low",IF(Table1[[#This Row],[units_sold]]&lt;150,"Low",IF(Table1[[#This Row],[units_sold]]&lt;300,"Medium","High")))</f>
        <v>Medium</v>
      </c>
      <c r="M162" t="str">
        <f t="shared" si="5"/>
        <v>Normal</v>
      </c>
      <c r="N162">
        <f>(Table1[[#This Row],[price]]*0.7)</f>
        <v>881.14599999999996</v>
      </c>
    </row>
    <row r="163" spans="1:14" x14ac:dyDescent="0.35">
      <c r="A163" t="str">
        <f t="shared" si="4"/>
        <v>P162</v>
      </c>
      <c r="B163" t="s">
        <v>6</v>
      </c>
      <c r="C163" t="s">
        <v>7</v>
      </c>
      <c r="D163">
        <v>612.53</v>
      </c>
      <c r="E163">
        <v>353</v>
      </c>
      <c r="F163">
        <v>4.5999999999999996</v>
      </c>
      <c r="G163" t="b">
        <v>1</v>
      </c>
      <c r="H163">
        <f>(Table1[[#This Row],[price]]*Table1[[#This Row],[units_sold]])</f>
        <v>216223.09</v>
      </c>
      <c r="I163" t="str">
        <f>IF(Table1[[#This Row],[in_stock]]=TRUE,"Available","Out of stock")</f>
        <v>Available</v>
      </c>
      <c r="J163" t="str">
        <f>IF(Table1[[#This Row],[rating]]&gt;=4,"High",IF(Table1[[#This Row],[rating]]&gt;=2.5,"Medium","Low"))</f>
        <v>High</v>
      </c>
      <c r="K163" t="str">
        <f>IF(Table1[[#This Row],[price]]&lt;200,"Budget",IF(Table1[[#This Row],[price]]&lt;600,"Mid-Range",IF(Table1[[#This Row],[price]]&lt;1000,"Premium","Luxury")))</f>
        <v>Premium</v>
      </c>
      <c r="L163" t="str">
        <f>IF(Table1[[#This Row],[units_sold]]&lt;50,"Very Low",IF(Table1[[#This Row],[units_sold]]&lt;150,"Low",IF(Table1[[#This Row],[units_sold]]&lt;300,"Medium","High")))</f>
        <v>High</v>
      </c>
      <c r="M163" t="str">
        <f t="shared" si="5"/>
        <v>Normal</v>
      </c>
      <c r="N163">
        <f>(Table1[[#This Row],[price]]*0.7)</f>
        <v>428.77099999999996</v>
      </c>
    </row>
    <row r="164" spans="1:14" x14ac:dyDescent="0.35">
      <c r="A164" t="str">
        <f t="shared" si="4"/>
        <v>P163</v>
      </c>
      <c r="B164" t="s">
        <v>8</v>
      </c>
      <c r="C164" t="s">
        <v>9</v>
      </c>
      <c r="D164">
        <v>1158.6600000000001</v>
      </c>
      <c r="E164">
        <v>184</v>
      </c>
      <c r="F164">
        <v>3.9</v>
      </c>
      <c r="G164" t="b">
        <v>1</v>
      </c>
      <c r="H164">
        <f>(Table1[[#This Row],[price]]*Table1[[#This Row],[units_sold]])</f>
        <v>213193.44</v>
      </c>
      <c r="I164" t="str">
        <f>IF(Table1[[#This Row],[in_stock]]=TRUE,"Available","Out of stock")</f>
        <v>Available</v>
      </c>
      <c r="J164" t="str">
        <f>IF(Table1[[#This Row],[rating]]&gt;=4,"High",IF(Table1[[#This Row],[rating]]&gt;=2.5,"Medium","Low"))</f>
        <v>Medium</v>
      </c>
      <c r="K164" t="str">
        <f>IF(Table1[[#This Row],[price]]&lt;200,"Budget",IF(Table1[[#This Row],[price]]&lt;600,"Mid-Range",IF(Table1[[#This Row],[price]]&lt;1000,"Premium","Luxury")))</f>
        <v>Luxury</v>
      </c>
      <c r="L164" t="str">
        <f>IF(Table1[[#This Row],[units_sold]]&lt;50,"Very Low",IF(Table1[[#This Row],[units_sold]]&lt;150,"Low",IF(Table1[[#This Row],[units_sold]]&lt;300,"Medium","High")))</f>
        <v>Medium</v>
      </c>
      <c r="M164" t="str">
        <f t="shared" si="5"/>
        <v>Normal</v>
      </c>
      <c r="N164">
        <f>(Table1[[#This Row],[price]]*0.7)</f>
        <v>811.06200000000001</v>
      </c>
    </row>
    <row r="165" spans="1:14" x14ac:dyDescent="0.35">
      <c r="A165" t="str">
        <f t="shared" si="4"/>
        <v>P164</v>
      </c>
      <c r="B165" t="s">
        <v>17</v>
      </c>
      <c r="C165" t="s">
        <v>7</v>
      </c>
      <c r="D165">
        <v>638.83000000000004</v>
      </c>
      <c r="E165">
        <v>3</v>
      </c>
      <c r="F165">
        <v>3.1</v>
      </c>
      <c r="G165" t="b">
        <v>0</v>
      </c>
      <c r="H165">
        <f>(Table1[[#This Row],[price]]*Table1[[#This Row],[units_sold]])</f>
        <v>1916.4900000000002</v>
      </c>
      <c r="I165" t="str">
        <f>IF(Table1[[#This Row],[in_stock]]=TRUE,"Available","Out of stock")</f>
        <v>Out of stock</v>
      </c>
      <c r="J165" t="str">
        <f>IF(Table1[[#This Row],[rating]]&gt;=4,"High",IF(Table1[[#This Row],[rating]]&gt;=2.5,"Medium","Low"))</f>
        <v>Medium</v>
      </c>
      <c r="K165" t="str">
        <f>IF(Table1[[#This Row],[price]]&lt;200,"Budget",IF(Table1[[#This Row],[price]]&lt;600,"Mid-Range",IF(Table1[[#This Row],[price]]&lt;1000,"Premium","Luxury")))</f>
        <v>Premium</v>
      </c>
      <c r="L165" t="str">
        <f>IF(Table1[[#This Row],[units_sold]]&lt;50,"Very Low",IF(Table1[[#This Row],[units_sold]]&lt;150,"Low",IF(Table1[[#This Row],[units_sold]]&lt;300,"Medium","High")))</f>
        <v>Very Low</v>
      </c>
      <c r="M165" t="str">
        <f t="shared" si="5"/>
        <v>Normal</v>
      </c>
      <c r="N165">
        <f>(Table1[[#This Row],[price]]*0.7)</f>
        <v>447.18099999999998</v>
      </c>
    </row>
    <row r="166" spans="1:14" x14ac:dyDescent="0.35">
      <c r="A166" t="str">
        <f t="shared" si="4"/>
        <v>P165</v>
      </c>
      <c r="B166" t="s">
        <v>16</v>
      </c>
      <c r="C166" t="s">
        <v>9</v>
      </c>
      <c r="D166">
        <v>537.27</v>
      </c>
      <c r="E166">
        <v>191</v>
      </c>
      <c r="F166">
        <v>4.5</v>
      </c>
      <c r="G166" t="b">
        <v>0</v>
      </c>
      <c r="H166">
        <f>(Table1[[#This Row],[price]]*Table1[[#This Row],[units_sold]])</f>
        <v>102618.56999999999</v>
      </c>
      <c r="I166" t="str">
        <f>IF(Table1[[#This Row],[in_stock]]=TRUE,"Available","Out of stock")</f>
        <v>Out of stock</v>
      </c>
      <c r="J166" t="str">
        <f>IF(Table1[[#This Row],[rating]]&gt;=4,"High",IF(Table1[[#This Row],[rating]]&gt;=2.5,"Medium","Low"))</f>
        <v>High</v>
      </c>
      <c r="K166" t="str">
        <f>IF(Table1[[#This Row],[price]]&lt;200,"Budget",IF(Table1[[#This Row],[price]]&lt;600,"Mid-Range",IF(Table1[[#This Row],[price]]&lt;1000,"Premium","Luxury")))</f>
        <v>Mid-Range</v>
      </c>
      <c r="L166" t="str">
        <f>IF(Table1[[#This Row],[units_sold]]&lt;50,"Very Low",IF(Table1[[#This Row],[units_sold]]&lt;150,"Low",IF(Table1[[#This Row],[units_sold]]&lt;300,"Medium","High")))</f>
        <v>Medium</v>
      </c>
      <c r="M166" t="str">
        <f t="shared" si="5"/>
        <v>Normal</v>
      </c>
      <c r="N166">
        <f>(Table1[[#This Row],[price]]*0.7)</f>
        <v>376.08899999999994</v>
      </c>
    </row>
    <row r="167" spans="1:14" x14ac:dyDescent="0.35">
      <c r="A167" t="str">
        <f t="shared" si="4"/>
        <v>P166</v>
      </c>
      <c r="B167" t="s">
        <v>16</v>
      </c>
      <c r="C167" t="s">
        <v>9</v>
      </c>
      <c r="D167">
        <v>1438.35</v>
      </c>
      <c r="E167">
        <v>118</v>
      </c>
      <c r="F167">
        <v>1.5</v>
      </c>
      <c r="G167" t="b">
        <v>0</v>
      </c>
      <c r="H167">
        <f>(Table1[[#This Row],[price]]*Table1[[#This Row],[units_sold]])</f>
        <v>169725.3</v>
      </c>
      <c r="I167" t="str">
        <f>IF(Table1[[#This Row],[in_stock]]=TRUE,"Available","Out of stock")</f>
        <v>Out of stock</v>
      </c>
      <c r="J167" t="str">
        <f>IF(Table1[[#This Row],[rating]]&gt;=4,"High",IF(Table1[[#This Row],[rating]]&gt;=2.5,"Medium","Low"))</f>
        <v>Low</v>
      </c>
      <c r="K167" t="str">
        <f>IF(Table1[[#This Row],[price]]&lt;200,"Budget",IF(Table1[[#This Row],[price]]&lt;600,"Mid-Range",IF(Table1[[#This Row],[price]]&lt;1000,"Premium","Luxury")))</f>
        <v>Luxury</v>
      </c>
      <c r="L167" t="str">
        <f>IF(Table1[[#This Row],[units_sold]]&lt;50,"Very Low",IF(Table1[[#This Row],[units_sold]]&lt;150,"Low",IF(Table1[[#This Row],[units_sold]]&lt;300,"Medium","High")))</f>
        <v>Low</v>
      </c>
      <c r="M167" t="str">
        <f t="shared" si="5"/>
        <v>Normal</v>
      </c>
      <c r="N167">
        <f>(Table1[[#This Row],[price]]*0.7)</f>
        <v>1006.8449999999999</v>
      </c>
    </row>
    <row r="168" spans="1:14" x14ac:dyDescent="0.35">
      <c r="A168" t="str">
        <f t="shared" si="4"/>
        <v>P167</v>
      </c>
      <c r="B168" t="s">
        <v>10</v>
      </c>
      <c r="C168" t="s">
        <v>9</v>
      </c>
      <c r="D168">
        <v>284.70999999999998</v>
      </c>
      <c r="E168">
        <v>19</v>
      </c>
      <c r="F168">
        <v>4.2</v>
      </c>
      <c r="G168" t="b">
        <v>1</v>
      </c>
      <c r="H168">
        <f>(Table1[[#This Row],[price]]*Table1[[#This Row],[units_sold]])</f>
        <v>5409.49</v>
      </c>
      <c r="I168" t="str">
        <f>IF(Table1[[#This Row],[in_stock]]=TRUE,"Available","Out of stock")</f>
        <v>Available</v>
      </c>
      <c r="J168" t="str">
        <f>IF(Table1[[#This Row],[rating]]&gt;=4,"High",IF(Table1[[#This Row],[rating]]&gt;=2.5,"Medium","Low"))</f>
        <v>High</v>
      </c>
      <c r="K168" t="str">
        <f>IF(Table1[[#This Row],[price]]&lt;200,"Budget",IF(Table1[[#This Row],[price]]&lt;600,"Mid-Range",IF(Table1[[#This Row],[price]]&lt;1000,"Premium","Luxury")))</f>
        <v>Mid-Range</v>
      </c>
      <c r="L168" t="str">
        <f>IF(Table1[[#This Row],[units_sold]]&lt;50,"Very Low",IF(Table1[[#This Row],[units_sold]]&lt;150,"Low",IF(Table1[[#This Row],[units_sold]]&lt;300,"Medium","High")))</f>
        <v>Very Low</v>
      </c>
      <c r="M168" t="str">
        <f t="shared" si="5"/>
        <v>Normal</v>
      </c>
      <c r="N168">
        <f>(Table1[[#This Row],[price]]*0.7)</f>
        <v>199.29699999999997</v>
      </c>
    </row>
    <row r="169" spans="1:14" x14ac:dyDescent="0.35">
      <c r="A169" t="str">
        <f t="shared" si="4"/>
        <v>P168</v>
      </c>
      <c r="B169" t="s">
        <v>17</v>
      </c>
      <c r="C169" t="s">
        <v>7</v>
      </c>
      <c r="D169">
        <v>144.6</v>
      </c>
      <c r="E169">
        <v>23</v>
      </c>
      <c r="F169">
        <v>1.5</v>
      </c>
      <c r="G169" t="b">
        <v>1</v>
      </c>
      <c r="H169">
        <f>(Table1[[#This Row],[price]]*Table1[[#This Row],[units_sold]])</f>
        <v>3325.7999999999997</v>
      </c>
      <c r="I169" t="str">
        <f>IF(Table1[[#This Row],[in_stock]]=TRUE,"Available","Out of stock")</f>
        <v>Available</v>
      </c>
      <c r="J169" t="str">
        <f>IF(Table1[[#This Row],[rating]]&gt;=4,"High",IF(Table1[[#This Row],[rating]]&gt;=2.5,"Medium","Low"))</f>
        <v>Low</v>
      </c>
      <c r="K169" t="str">
        <f>IF(Table1[[#This Row],[price]]&lt;200,"Budget",IF(Table1[[#This Row],[price]]&lt;600,"Mid-Range",IF(Table1[[#This Row],[price]]&lt;1000,"Premium","Luxury")))</f>
        <v>Budget</v>
      </c>
      <c r="L169" t="str">
        <f>IF(Table1[[#This Row],[units_sold]]&lt;50,"Very Low",IF(Table1[[#This Row],[units_sold]]&lt;150,"Low",IF(Table1[[#This Row],[units_sold]]&lt;300,"Medium","High")))</f>
        <v>Very Low</v>
      </c>
      <c r="M169" t="str">
        <f t="shared" si="5"/>
        <v>Normal</v>
      </c>
      <c r="N169">
        <f>(Table1[[#This Row],[price]]*0.7)</f>
        <v>101.21999999999998</v>
      </c>
    </row>
    <row r="170" spans="1:14" x14ac:dyDescent="0.35">
      <c r="A170" t="str">
        <f t="shared" si="4"/>
        <v>P169</v>
      </c>
      <c r="B170" t="s">
        <v>14</v>
      </c>
      <c r="C170" t="s">
        <v>9</v>
      </c>
      <c r="D170">
        <v>1158.77</v>
      </c>
      <c r="E170">
        <v>413</v>
      </c>
      <c r="F170">
        <v>4.2</v>
      </c>
      <c r="G170" t="b">
        <v>1</v>
      </c>
      <c r="H170">
        <f>(Table1[[#This Row],[price]]*Table1[[#This Row],[units_sold]])</f>
        <v>478572.01</v>
      </c>
      <c r="I170" t="str">
        <f>IF(Table1[[#This Row],[in_stock]]=TRUE,"Available","Out of stock")</f>
        <v>Available</v>
      </c>
      <c r="J170" t="str">
        <f>IF(Table1[[#This Row],[rating]]&gt;=4,"High",IF(Table1[[#This Row],[rating]]&gt;=2.5,"Medium","Low"))</f>
        <v>High</v>
      </c>
      <c r="K170" t="str">
        <f>IF(Table1[[#This Row],[price]]&lt;200,"Budget",IF(Table1[[#This Row],[price]]&lt;600,"Mid-Range",IF(Table1[[#This Row],[price]]&lt;1000,"Premium","Luxury")))</f>
        <v>Luxury</v>
      </c>
      <c r="L170" t="str">
        <f>IF(Table1[[#This Row],[units_sold]]&lt;50,"Very Low",IF(Table1[[#This Row],[units_sold]]&lt;150,"Low",IF(Table1[[#This Row],[units_sold]]&lt;300,"Medium","High")))</f>
        <v>High</v>
      </c>
      <c r="M170" t="str">
        <f t="shared" si="5"/>
        <v>Normal</v>
      </c>
      <c r="N170">
        <f>(Table1[[#This Row],[price]]*0.7)</f>
        <v>811.1389999999999</v>
      </c>
    </row>
    <row r="171" spans="1:14" x14ac:dyDescent="0.35">
      <c r="A171" t="str">
        <f t="shared" si="4"/>
        <v>P170</v>
      </c>
      <c r="B171" t="s">
        <v>11</v>
      </c>
      <c r="C171" t="s">
        <v>9</v>
      </c>
      <c r="D171">
        <v>111.69</v>
      </c>
      <c r="E171">
        <v>30</v>
      </c>
      <c r="F171">
        <v>2.1</v>
      </c>
      <c r="G171" t="b">
        <v>1</v>
      </c>
      <c r="H171">
        <f>(Table1[[#This Row],[price]]*Table1[[#This Row],[units_sold]])</f>
        <v>3350.7</v>
      </c>
      <c r="I171" t="str">
        <f>IF(Table1[[#This Row],[in_stock]]=TRUE,"Available","Out of stock")</f>
        <v>Available</v>
      </c>
      <c r="J171" t="str">
        <f>IF(Table1[[#This Row],[rating]]&gt;=4,"High",IF(Table1[[#This Row],[rating]]&gt;=2.5,"Medium","Low"))</f>
        <v>Low</v>
      </c>
      <c r="K171" t="str">
        <f>IF(Table1[[#This Row],[price]]&lt;200,"Budget",IF(Table1[[#This Row],[price]]&lt;600,"Mid-Range",IF(Table1[[#This Row],[price]]&lt;1000,"Premium","Luxury")))</f>
        <v>Budget</v>
      </c>
      <c r="L171" t="str">
        <f>IF(Table1[[#This Row],[units_sold]]&lt;50,"Very Low",IF(Table1[[#This Row],[units_sold]]&lt;150,"Low",IF(Table1[[#This Row],[units_sold]]&lt;300,"Medium","High")))</f>
        <v>Very Low</v>
      </c>
      <c r="M171" t="str">
        <f t="shared" si="5"/>
        <v>Normal</v>
      </c>
      <c r="N171">
        <f>(Table1[[#This Row],[price]]*0.7)</f>
        <v>78.182999999999993</v>
      </c>
    </row>
    <row r="172" spans="1:14" x14ac:dyDescent="0.35">
      <c r="A172" t="str">
        <f t="shared" si="4"/>
        <v>P171</v>
      </c>
      <c r="B172" t="s">
        <v>13</v>
      </c>
      <c r="C172" t="s">
        <v>9</v>
      </c>
      <c r="D172">
        <v>1257.25</v>
      </c>
      <c r="E172">
        <v>295</v>
      </c>
      <c r="F172">
        <v>4.5</v>
      </c>
      <c r="G172" t="b">
        <v>1</v>
      </c>
      <c r="H172">
        <f>(Table1[[#This Row],[price]]*Table1[[#This Row],[units_sold]])</f>
        <v>370888.75</v>
      </c>
      <c r="I172" t="str">
        <f>IF(Table1[[#This Row],[in_stock]]=TRUE,"Available","Out of stock")</f>
        <v>Available</v>
      </c>
      <c r="J172" t="str">
        <f>IF(Table1[[#This Row],[rating]]&gt;=4,"High",IF(Table1[[#This Row],[rating]]&gt;=2.5,"Medium","Low"))</f>
        <v>High</v>
      </c>
      <c r="K172" t="str">
        <f>IF(Table1[[#This Row],[price]]&lt;200,"Budget",IF(Table1[[#This Row],[price]]&lt;600,"Mid-Range",IF(Table1[[#This Row],[price]]&lt;1000,"Premium","Luxury")))</f>
        <v>Luxury</v>
      </c>
      <c r="L172" t="str">
        <f>IF(Table1[[#This Row],[units_sold]]&lt;50,"Very Low",IF(Table1[[#This Row],[units_sold]]&lt;150,"Low",IF(Table1[[#This Row],[units_sold]]&lt;300,"Medium","High")))</f>
        <v>Medium</v>
      </c>
      <c r="M172" t="str">
        <f t="shared" si="5"/>
        <v>Normal</v>
      </c>
      <c r="N172">
        <f>(Table1[[#This Row],[price]]*0.7)</f>
        <v>880.07499999999993</v>
      </c>
    </row>
    <row r="173" spans="1:14" x14ac:dyDescent="0.35">
      <c r="A173" t="str">
        <f t="shared" si="4"/>
        <v>P172</v>
      </c>
      <c r="B173" t="s">
        <v>16</v>
      </c>
      <c r="C173" t="s">
        <v>9</v>
      </c>
      <c r="D173">
        <v>661.42</v>
      </c>
      <c r="E173">
        <v>108</v>
      </c>
      <c r="F173">
        <v>4.8</v>
      </c>
      <c r="G173" t="b">
        <v>1</v>
      </c>
      <c r="H173">
        <f>(Table1[[#This Row],[price]]*Table1[[#This Row],[units_sold]])</f>
        <v>71433.36</v>
      </c>
      <c r="I173" t="str">
        <f>IF(Table1[[#This Row],[in_stock]]=TRUE,"Available","Out of stock")</f>
        <v>Available</v>
      </c>
      <c r="J173" t="str">
        <f>IF(Table1[[#This Row],[rating]]&gt;=4,"High",IF(Table1[[#This Row],[rating]]&gt;=2.5,"Medium","Low"))</f>
        <v>High</v>
      </c>
      <c r="K173" t="str">
        <f>IF(Table1[[#This Row],[price]]&lt;200,"Budget",IF(Table1[[#This Row],[price]]&lt;600,"Mid-Range",IF(Table1[[#This Row],[price]]&lt;1000,"Premium","Luxury")))</f>
        <v>Premium</v>
      </c>
      <c r="L173" t="str">
        <f>IF(Table1[[#This Row],[units_sold]]&lt;50,"Very Low",IF(Table1[[#This Row],[units_sold]]&lt;150,"Low",IF(Table1[[#This Row],[units_sold]]&lt;300,"Medium","High")))</f>
        <v>Low</v>
      </c>
      <c r="M173" t="str">
        <f t="shared" si="5"/>
        <v>Normal</v>
      </c>
      <c r="N173">
        <f>(Table1[[#This Row],[price]]*0.7)</f>
        <v>462.99399999999991</v>
      </c>
    </row>
    <row r="174" spans="1:14" x14ac:dyDescent="0.35">
      <c r="A174" t="str">
        <f t="shared" si="4"/>
        <v>P173</v>
      </c>
      <c r="B174" t="s">
        <v>12</v>
      </c>
      <c r="C174" t="s">
        <v>7</v>
      </c>
      <c r="D174">
        <v>1374.12</v>
      </c>
      <c r="E174">
        <v>367</v>
      </c>
      <c r="F174">
        <v>1.6</v>
      </c>
      <c r="G174" t="b">
        <v>0</v>
      </c>
      <c r="H174">
        <f>(Table1[[#This Row],[price]]*Table1[[#This Row],[units_sold]])</f>
        <v>504302.04</v>
      </c>
      <c r="I174" t="str">
        <f>IF(Table1[[#This Row],[in_stock]]=TRUE,"Available","Out of stock")</f>
        <v>Out of stock</v>
      </c>
      <c r="J174" t="str">
        <f>IF(Table1[[#This Row],[rating]]&gt;=4,"High",IF(Table1[[#This Row],[rating]]&gt;=2.5,"Medium","Low"))</f>
        <v>Low</v>
      </c>
      <c r="K174" t="str">
        <f>IF(Table1[[#This Row],[price]]&lt;200,"Budget",IF(Table1[[#This Row],[price]]&lt;600,"Mid-Range",IF(Table1[[#This Row],[price]]&lt;1000,"Premium","Luxury")))</f>
        <v>Luxury</v>
      </c>
      <c r="L174" t="str">
        <f>IF(Table1[[#This Row],[units_sold]]&lt;50,"Very Low",IF(Table1[[#This Row],[units_sold]]&lt;150,"Low",IF(Table1[[#This Row],[units_sold]]&lt;300,"Medium","High")))</f>
        <v>High</v>
      </c>
      <c r="M174" t="str">
        <f t="shared" si="5"/>
        <v>High Demand - Out of Stock</v>
      </c>
      <c r="N174">
        <f>(Table1[[#This Row],[price]]*0.7)</f>
        <v>961.8839999999999</v>
      </c>
    </row>
    <row r="175" spans="1:14" x14ac:dyDescent="0.35">
      <c r="A175" t="str">
        <f t="shared" si="4"/>
        <v>P174</v>
      </c>
      <c r="B175" t="s">
        <v>16</v>
      </c>
      <c r="C175" t="s">
        <v>9</v>
      </c>
      <c r="D175">
        <v>1085.08</v>
      </c>
      <c r="E175">
        <v>281</v>
      </c>
      <c r="F175">
        <v>2.9</v>
      </c>
      <c r="G175" t="b">
        <v>1</v>
      </c>
      <c r="H175">
        <f>(Table1[[#This Row],[price]]*Table1[[#This Row],[units_sold]])</f>
        <v>304907.48</v>
      </c>
      <c r="I175" t="str">
        <f>IF(Table1[[#This Row],[in_stock]]=TRUE,"Available","Out of stock")</f>
        <v>Available</v>
      </c>
      <c r="J175" t="str">
        <f>IF(Table1[[#This Row],[rating]]&gt;=4,"High",IF(Table1[[#This Row],[rating]]&gt;=2.5,"Medium","Low"))</f>
        <v>Medium</v>
      </c>
      <c r="K175" t="str">
        <f>IF(Table1[[#This Row],[price]]&lt;200,"Budget",IF(Table1[[#This Row],[price]]&lt;600,"Mid-Range",IF(Table1[[#This Row],[price]]&lt;1000,"Premium","Luxury")))</f>
        <v>Luxury</v>
      </c>
      <c r="L175" t="str">
        <f>IF(Table1[[#This Row],[units_sold]]&lt;50,"Very Low",IF(Table1[[#This Row],[units_sold]]&lt;150,"Low",IF(Table1[[#This Row],[units_sold]]&lt;300,"Medium","High")))</f>
        <v>Medium</v>
      </c>
      <c r="M175" t="str">
        <f t="shared" si="5"/>
        <v>Normal</v>
      </c>
      <c r="N175">
        <f>(Table1[[#This Row],[price]]*0.7)</f>
        <v>759.55599999999993</v>
      </c>
    </row>
    <row r="176" spans="1:14" x14ac:dyDescent="0.35">
      <c r="A176" t="str">
        <f t="shared" si="4"/>
        <v>P175</v>
      </c>
      <c r="B176" t="s">
        <v>6</v>
      </c>
      <c r="C176" t="s">
        <v>7</v>
      </c>
      <c r="D176">
        <v>919.5</v>
      </c>
      <c r="E176">
        <v>128</v>
      </c>
      <c r="F176">
        <v>4.9000000000000004</v>
      </c>
      <c r="G176" t="b">
        <v>1</v>
      </c>
      <c r="H176">
        <f>(Table1[[#This Row],[price]]*Table1[[#This Row],[units_sold]])</f>
        <v>117696</v>
      </c>
      <c r="I176" t="str">
        <f>IF(Table1[[#This Row],[in_stock]]=TRUE,"Available","Out of stock")</f>
        <v>Available</v>
      </c>
      <c r="J176" t="str">
        <f>IF(Table1[[#This Row],[rating]]&gt;=4,"High",IF(Table1[[#This Row],[rating]]&gt;=2.5,"Medium","Low"))</f>
        <v>High</v>
      </c>
      <c r="K176" t="str">
        <f>IF(Table1[[#This Row],[price]]&lt;200,"Budget",IF(Table1[[#This Row],[price]]&lt;600,"Mid-Range",IF(Table1[[#This Row],[price]]&lt;1000,"Premium","Luxury")))</f>
        <v>Premium</v>
      </c>
      <c r="L176" t="str">
        <f>IF(Table1[[#This Row],[units_sold]]&lt;50,"Very Low",IF(Table1[[#This Row],[units_sold]]&lt;150,"Low",IF(Table1[[#This Row],[units_sold]]&lt;300,"Medium","High")))</f>
        <v>Low</v>
      </c>
      <c r="M176" t="str">
        <f t="shared" si="5"/>
        <v>Normal</v>
      </c>
      <c r="N176">
        <f>(Table1[[#This Row],[price]]*0.7)</f>
        <v>643.65</v>
      </c>
    </row>
    <row r="177" spans="1:14" x14ac:dyDescent="0.35">
      <c r="A177" t="str">
        <f t="shared" si="4"/>
        <v>P176</v>
      </c>
      <c r="B177" t="s">
        <v>16</v>
      </c>
      <c r="C177" t="s">
        <v>9</v>
      </c>
      <c r="D177">
        <v>1424.47</v>
      </c>
      <c r="E177">
        <v>229</v>
      </c>
      <c r="F177">
        <v>2.9</v>
      </c>
      <c r="G177" t="b">
        <v>1</v>
      </c>
      <c r="H177">
        <f>(Table1[[#This Row],[price]]*Table1[[#This Row],[units_sold]])</f>
        <v>326203.63</v>
      </c>
      <c r="I177" t="str">
        <f>IF(Table1[[#This Row],[in_stock]]=TRUE,"Available","Out of stock")</f>
        <v>Available</v>
      </c>
      <c r="J177" t="str">
        <f>IF(Table1[[#This Row],[rating]]&gt;=4,"High",IF(Table1[[#This Row],[rating]]&gt;=2.5,"Medium","Low"))</f>
        <v>Medium</v>
      </c>
      <c r="K177" t="str">
        <f>IF(Table1[[#This Row],[price]]&lt;200,"Budget",IF(Table1[[#This Row],[price]]&lt;600,"Mid-Range",IF(Table1[[#This Row],[price]]&lt;1000,"Premium","Luxury")))</f>
        <v>Luxury</v>
      </c>
      <c r="L177" t="str">
        <f>IF(Table1[[#This Row],[units_sold]]&lt;50,"Very Low",IF(Table1[[#This Row],[units_sold]]&lt;150,"Low",IF(Table1[[#This Row],[units_sold]]&lt;300,"Medium","High")))</f>
        <v>Medium</v>
      </c>
      <c r="M177" t="str">
        <f t="shared" si="5"/>
        <v>Normal</v>
      </c>
      <c r="N177">
        <f>(Table1[[#This Row],[price]]*0.7)</f>
        <v>997.12899999999991</v>
      </c>
    </row>
    <row r="178" spans="1:14" x14ac:dyDescent="0.35">
      <c r="A178" t="str">
        <f t="shared" si="4"/>
        <v>P177</v>
      </c>
      <c r="B178" t="s">
        <v>16</v>
      </c>
      <c r="C178" t="s">
        <v>9</v>
      </c>
      <c r="D178">
        <v>601.01</v>
      </c>
      <c r="E178">
        <v>111</v>
      </c>
      <c r="F178">
        <v>4.5</v>
      </c>
      <c r="G178" t="b">
        <v>1</v>
      </c>
      <c r="H178">
        <f>(Table1[[#This Row],[price]]*Table1[[#This Row],[units_sold]])</f>
        <v>66712.11</v>
      </c>
      <c r="I178" t="str">
        <f>IF(Table1[[#This Row],[in_stock]]=TRUE,"Available","Out of stock")</f>
        <v>Available</v>
      </c>
      <c r="J178" t="str">
        <f>IF(Table1[[#This Row],[rating]]&gt;=4,"High",IF(Table1[[#This Row],[rating]]&gt;=2.5,"Medium","Low"))</f>
        <v>High</v>
      </c>
      <c r="K178" t="str">
        <f>IF(Table1[[#This Row],[price]]&lt;200,"Budget",IF(Table1[[#This Row],[price]]&lt;600,"Mid-Range",IF(Table1[[#This Row],[price]]&lt;1000,"Premium","Luxury")))</f>
        <v>Premium</v>
      </c>
      <c r="L178" t="str">
        <f>IF(Table1[[#This Row],[units_sold]]&lt;50,"Very Low",IF(Table1[[#This Row],[units_sold]]&lt;150,"Low",IF(Table1[[#This Row],[units_sold]]&lt;300,"Medium","High")))</f>
        <v>Low</v>
      </c>
      <c r="M178" t="str">
        <f t="shared" si="5"/>
        <v>Normal</v>
      </c>
      <c r="N178">
        <f>(Table1[[#This Row],[price]]*0.7)</f>
        <v>420.70699999999999</v>
      </c>
    </row>
    <row r="179" spans="1:14" x14ac:dyDescent="0.35">
      <c r="A179" t="str">
        <f t="shared" si="4"/>
        <v>P178</v>
      </c>
      <c r="B179" t="s">
        <v>11</v>
      </c>
      <c r="C179" t="s">
        <v>9</v>
      </c>
      <c r="D179">
        <v>1431.59</v>
      </c>
      <c r="E179">
        <v>136</v>
      </c>
      <c r="F179">
        <v>3.4</v>
      </c>
      <c r="G179" t="b">
        <v>1</v>
      </c>
      <c r="H179">
        <f>(Table1[[#This Row],[price]]*Table1[[#This Row],[units_sold]])</f>
        <v>194696.24</v>
      </c>
      <c r="I179" t="str">
        <f>IF(Table1[[#This Row],[in_stock]]=TRUE,"Available","Out of stock")</f>
        <v>Available</v>
      </c>
      <c r="J179" t="str">
        <f>IF(Table1[[#This Row],[rating]]&gt;=4,"High",IF(Table1[[#This Row],[rating]]&gt;=2.5,"Medium","Low"))</f>
        <v>Medium</v>
      </c>
      <c r="K179" t="str">
        <f>IF(Table1[[#This Row],[price]]&lt;200,"Budget",IF(Table1[[#This Row],[price]]&lt;600,"Mid-Range",IF(Table1[[#This Row],[price]]&lt;1000,"Premium","Luxury")))</f>
        <v>Luxury</v>
      </c>
      <c r="L179" t="str">
        <f>IF(Table1[[#This Row],[units_sold]]&lt;50,"Very Low",IF(Table1[[#This Row],[units_sold]]&lt;150,"Low",IF(Table1[[#This Row],[units_sold]]&lt;300,"Medium","High")))</f>
        <v>Low</v>
      </c>
      <c r="M179" t="str">
        <f t="shared" si="5"/>
        <v>Normal</v>
      </c>
      <c r="N179">
        <f>(Table1[[#This Row],[price]]*0.7)</f>
        <v>1002.1129999999998</v>
      </c>
    </row>
    <row r="180" spans="1:14" x14ac:dyDescent="0.35">
      <c r="A180" t="str">
        <f t="shared" si="4"/>
        <v>P179</v>
      </c>
      <c r="B180" t="s">
        <v>11</v>
      </c>
      <c r="C180" t="s">
        <v>9</v>
      </c>
      <c r="D180">
        <v>211.15</v>
      </c>
      <c r="E180">
        <v>362</v>
      </c>
      <c r="F180">
        <v>2.5</v>
      </c>
      <c r="G180" t="b">
        <v>1</v>
      </c>
      <c r="H180">
        <f>(Table1[[#This Row],[price]]*Table1[[#This Row],[units_sold]])</f>
        <v>76436.3</v>
      </c>
      <c r="I180" t="str">
        <f>IF(Table1[[#This Row],[in_stock]]=TRUE,"Available","Out of stock")</f>
        <v>Available</v>
      </c>
      <c r="J180" t="str">
        <f>IF(Table1[[#This Row],[rating]]&gt;=4,"High",IF(Table1[[#This Row],[rating]]&gt;=2.5,"Medium","Low"))</f>
        <v>Medium</v>
      </c>
      <c r="K180" t="str">
        <f>IF(Table1[[#This Row],[price]]&lt;200,"Budget",IF(Table1[[#This Row],[price]]&lt;600,"Mid-Range",IF(Table1[[#This Row],[price]]&lt;1000,"Premium","Luxury")))</f>
        <v>Mid-Range</v>
      </c>
      <c r="L180" t="str">
        <f>IF(Table1[[#This Row],[units_sold]]&lt;50,"Very Low",IF(Table1[[#This Row],[units_sold]]&lt;150,"Low",IF(Table1[[#This Row],[units_sold]]&lt;300,"Medium","High")))</f>
        <v>High</v>
      </c>
      <c r="M180" t="str">
        <f t="shared" si="5"/>
        <v>Normal</v>
      </c>
      <c r="N180">
        <f>(Table1[[#This Row],[price]]*0.7)</f>
        <v>147.80500000000001</v>
      </c>
    </row>
    <row r="181" spans="1:14" x14ac:dyDescent="0.35">
      <c r="A181" t="str">
        <f t="shared" si="4"/>
        <v>P180</v>
      </c>
      <c r="B181" t="s">
        <v>15</v>
      </c>
      <c r="C181" t="s">
        <v>7</v>
      </c>
      <c r="D181">
        <v>730.79</v>
      </c>
      <c r="E181">
        <v>186</v>
      </c>
      <c r="F181">
        <v>2.1</v>
      </c>
      <c r="G181" t="b">
        <v>1</v>
      </c>
      <c r="H181">
        <f>(Table1[[#This Row],[price]]*Table1[[#This Row],[units_sold]])</f>
        <v>135926.94</v>
      </c>
      <c r="I181" t="str">
        <f>IF(Table1[[#This Row],[in_stock]]=TRUE,"Available","Out of stock")</f>
        <v>Available</v>
      </c>
      <c r="J181" t="str">
        <f>IF(Table1[[#This Row],[rating]]&gt;=4,"High",IF(Table1[[#This Row],[rating]]&gt;=2.5,"Medium","Low"))</f>
        <v>Low</v>
      </c>
      <c r="K181" t="str">
        <f>IF(Table1[[#This Row],[price]]&lt;200,"Budget",IF(Table1[[#This Row],[price]]&lt;600,"Mid-Range",IF(Table1[[#This Row],[price]]&lt;1000,"Premium","Luxury")))</f>
        <v>Premium</v>
      </c>
      <c r="L181" t="str">
        <f>IF(Table1[[#This Row],[units_sold]]&lt;50,"Very Low",IF(Table1[[#This Row],[units_sold]]&lt;150,"Low",IF(Table1[[#This Row],[units_sold]]&lt;300,"Medium","High")))</f>
        <v>Medium</v>
      </c>
      <c r="M181" t="str">
        <f t="shared" si="5"/>
        <v>Normal</v>
      </c>
      <c r="N181">
        <f>(Table1[[#This Row],[price]]*0.7)</f>
        <v>511.55299999999994</v>
      </c>
    </row>
    <row r="182" spans="1:14" x14ac:dyDescent="0.35">
      <c r="A182" t="str">
        <f t="shared" si="4"/>
        <v>P181</v>
      </c>
      <c r="B182" t="s">
        <v>14</v>
      </c>
      <c r="C182" t="s">
        <v>9</v>
      </c>
      <c r="D182">
        <v>412.17</v>
      </c>
      <c r="E182">
        <v>144</v>
      </c>
      <c r="F182">
        <v>1.8</v>
      </c>
      <c r="G182" t="b">
        <v>1</v>
      </c>
      <c r="H182">
        <f>(Table1[[#This Row],[price]]*Table1[[#This Row],[units_sold]])</f>
        <v>59352.480000000003</v>
      </c>
      <c r="I182" t="str">
        <f>IF(Table1[[#This Row],[in_stock]]=TRUE,"Available","Out of stock")</f>
        <v>Available</v>
      </c>
      <c r="J182" t="str">
        <f>IF(Table1[[#This Row],[rating]]&gt;=4,"High",IF(Table1[[#This Row],[rating]]&gt;=2.5,"Medium","Low"))</f>
        <v>Low</v>
      </c>
      <c r="K182" t="str">
        <f>IF(Table1[[#This Row],[price]]&lt;200,"Budget",IF(Table1[[#This Row],[price]]&lt;600,"Mid-Range",IF(Table1[[#This Row],[price]]&lt;1000,"Premium","Luxury")))</f>
        <v>Mid-Range</v>
      </c>
      <c r="L182" t="str">
        <f>IF(Table1[[#This Row],[units_sold]]&lt;50,"Very Low",IF(Table1[[#This Row],[units_sold]]&lt;150,"Low",IF(Table1[[#This Row],[units_sold]]&lt;300,"Medium","High")))</f>
        <v>Low</v>
      </c>
      <c r="M182" t="str">
        <f t="shared" si="5"/>
        <v>Normal</v>
      </c>
      <c r="N182">
        <f>(Table1[[#This Row],[price]]*0.7)</f>
        <v>288.51900000000001</v>
      </c>
    </row>
    <row r="183" spans="1:14" x14ac:dyDescent="0.35">
      <c r="A183" t="str">
        <f t="shared" si="4"/>
        <v>P182</v>
      </c>
      <c r="B183" t="s">
        <v>12</v>
      </c>
      <c r="C183" t="s">
        <v>7</v>
      </c>
      <c r="D183">
        <v>814.37</v>
      </c>
      <c r="E183">
        <v>72</v>
      </c>
      <c r="F183">
        <v>4</v>
      </c>
      <c r="G183" t="b">
        <v>0</v>
      </c>
      <c r="H183">
        <f>(Table1[[#This Row],[price]]*Table1[[#This Row],[units_sold]])</f>
        <v>58634.64</v>
      </c>
      <c r="I183" t="str">
        <f>IF(Table1[[#This Row],[in_stock]]=TRUE,"Available","Out of stock")</f>
        <v>Out of stock</v>
      </c>
      <c r="J183" t="str">
        <f>IF(Table1[[#This Row],[rating]]&gt;=4,"High",IF(Table1[[#This Row],[rating]]&gt;=2.5,"Medium","Low"))</f>
        <v>High</v>
      </c>
      <c r="K183" t="str">
        <f>IF(Table1[[#This Row],[price]]&lt;200,"Budget",IF(Table1[[#This Row],[price]]&lt;600,"Mid-Range",IF(Table1[[#This Row],[price]]&lt;1000,"Premium","Luxury")))</f>
        <v>Premium</v>
      </c>
      <c r="L183" t="str">
        <f>IF(Table1[[#This Row],[units_sold]]&lt;50,"Very Low",IF(Table1[[#This Row],[units_sold]]&lt;150,"Low",IF(Table1[[#This Row],[units_sold]]&lt;300,"Medium","High")))</f>
        <v>Low</v>
      </c>
      <c r="M183" t="str">
        <f t="shared" si="5"/>
        <v>Normal</v>
      </c>
      <c r="N183">
        <f>(Table1[[#This Row],[price]]*0.7)</f>
        <v>570.05899999999997</v>
      </c>
    </row>
    <row r="184" spans="1:14" x14ac:dyDescent="0.35">
      <c r="A184" t="str">
        <f t="shared" si="4"/>
        <v>P183</v>
      </c>
      <c r="B184" t="s">
        <v>16</v>
      </c>
      <c r="C184" t="s">
        <v>9</v>
      </c>
      <c r="D184">
        <v>251.4</v>
      </c>
      <c r="E184">
        <v>129</v>
      </c>
      <c r="F184">
        <v>2.5</v>
      </c>
      <c r="G184" t="b">
        <v>0</v>
      </c>
      <c r="H184">
        <f>(Table1[[#This Row],[price]]*Table1[[#This Row],[units_sold]])</f>
        <v>32430.600000000002</v>
      </c>
      <c r="I184" t="str">
        <f>IF(Table1[[#This Row],[in_stock]]=TRUE,"Available","Out of stock")</f>
        <v>Out of stock</v>
      </c>
      <c r="J184" t="str">
        <f>IF(Table1[[#This Row],[rating]]&gt;=4,"High",IF(Table1[[#This Row],[rating]]&gt;=2.5,"Medium","Low"))</f>
        <v>Medium</v>
      </c>
      <c r="K184" t="str">
        <f>IF(Table1[[#This Row],[price]]&lt;200,"Budget",IF(Table1[[#This Row],[price]]&lt;600,"Mid-Range",IF(Table1[[#This Row],[price]]&lt;1000,"Premium","Luxury")))</f>
        <v>Mid-Range</v>
      </c>
      <c r="L184" t="str">
        <f>IF(Table1[[#This Row],[units_sold]]&lt;50,"Very Low",IF(Table1[[#This Row],[units_sold]]&lt;150,"Low",IF(Table1[[#This Row],[units_sold]]&lt;300,"Medium","High")))</f>
        <v>Low</v>
      </c>
      <c r="M184" t="str">
        <f t="shared" si="5"/>
        <v>Normal</v>
      </c>
      <c r="N184">
        <f>(Table1[[#This Row],[price]]*0.7)</f>
        <v>175.98</v>
      </c>
    </row>
    <row r="185" spans="1:14" x14ac:dyDescent="0.35">
      <c r="A185" t="str">
        <f t="shared" si="4"/>
        <v>P184</v>
      </c>
      <c r="B185" t="s">
        <v>16</v>
      </c>
      <c r="C185" t="s">
        <v>9</v>
      </c>
      <c r="D185">
        <v>1263.8800000000001</v>
      </c>
      <c r="E185">
        <v>364</v>
      </c>
      <c r="F185">
        <v>3</v>
      </c>
      <c r="G185" t="b">
        <v>1</v>
      </c>
      <c r="H185">
        <f>(Table1[[#This Row],[price]]*Table1[[#This Row],[units_sold]])</f>
        <v>460052.32000000007</v>
      </c>
      <c r="I185" t="str">
        <f>IF(Table1[[#This Row],[in_stock]]=TRUE,"Available","Out of stock")</f>
        <v>Available</v>
      </c>
      <c r="J185" t="str">
        <f>IF(Table1[[#This Row],[rating]]&gt;=4,"High",IF(Table1[[#This Row],[rating]]&gt;=2.5,"Medium","Low"))</f>
        <v>Medium</v>
      </c>
      <c r="K185" t="str">
        <f>IF(Table1[[#This Row],[price]]&lt;200,"Budget",IF(Table1[[#This Row],[price]]&lt;600,"Mid-Range",IF(Table1[[#This Row],[price]]&lt;1000,"Premium","Luxury")))</f>
        <v>Luxury</v>
      </c>
      <c r="L185" t="str">
        <f>IF(Table1[[#This Row],[units_sold]]&lt;50,"Very Low",IF(Table1[[#This Row],[units_sold]]&lt;150,"Low",IF(Table1[[#This Row],[units_sold]]&lt;300,"Medium","High")))</f>
        <v>High</v>
      </c>
      <c r="M185" t="str">
        <f t="shared" si="5"/>
        <v>Normal</v>
      </c>
      <c r="N185">
        <f>(Table1[[#This Row],[price]]*0.7)</f>
        <v>884.71600000000001</v>
      </c>
    </row>
    <row r="186" spans="1:14" x14ac:dyDescent="0.35">
      <c r="A186" t="str">
        <f t="shared" si="4"/>
        <v>P185</v>
      </c>
      <c r="B186" t="s">
        <v>13</v>
      </c>
      <c r="C186" t="s">
        <v>9</v>
      </c>
      <c r="D186">
        <v>1271.1500000000001</v>
      </c>
      <c r="E186">
        <v>261</v>
      </c>
      <c r="F186">
        <v>3</v>
      </c>
      <c r="G186" t="b">
        <v>1</v>
      </c>
      <c r="H186">
        <f>(Table1[[#This Row],[price]]*Table1[[#This Row],[units_sold]])</f>
        <v>331770.15000000002</v>
      </c>
      <c r="I186" t="str">
        <f>IF(Table1[[#This Row],[in_stock]]=TRUE,"Available","Out of stock")</f>
        <v>Available</v>
      </c>
      <c r="J186" t="str">
        <f>IF(Table1[[#This Row],[rating]]&gt;=4,"High",IF(Table1[[#This Row],[rating]]&gt;=2.5,"Medium","Low"))</f>
        <v>Medium</v>
      </c>
      <c r="K186" t="str">
        <f>IF(Table1[[#This Row],[price]]&lt;200,"Budget",IF(Table1[[#This Row],[price]]&lt;600,"Mid-Range",IF(Table1[[#This Row],[price]]&lt;1000,"Premium","Luxury")))</f>
        <v>Luxury</v>
      </c>
      <c r="L186" t="str">
        <f>IF(Table1[[#This Row],[units_sold]]&lt;50,"Very Low",IF(Table1[[#This Row],[units_sold]]&lt;150,"Low",IF(Table1[[#This Row],[units_sold]]&lt;300,"Medium","High")))</f>
        <v>Medium</v>
      </c>
      <c r="M186" t="str">
        <f t="shared" si="5"/>
        <v>Normal</v>
      </c>
      <c r="N186">
        <f>(Table1[[#This Row],[price]]*0.7)</f>
        <v>889.80500000000006</v>
      </c>
    </row>
    <row r="187" spans="1:14" x14ac:dyDescent="0.35">
      <c r="A187" t="str">
        <f t="shared" si="4"/>
        <v>P186</v>
      </c>
      <c r="B187" t="s">
        <v>11</v>
      </c>
      <c r="C187" t="s">
        <v>9</v>
      </c>
      <c r="D187">
        <v>1433.3</v>
      </c>
      <c r="E187">
        <v>3</v>
      </c>
      <c r="F187">
        <v>3.3</v>
      </c>
      <c r="G187" t="b">
        <v>0</v>
      </c>
      <c r="H187">
        <f>(Table1[[#This Row],[price]]*Table1[[#This Row],[units_sold]])</f>
        <v>4299.8999999999996</v>
      </c>
      <c r="I187" t="str">
        <f>IF(Table1[[#This Row],[in_stock]]=TRUE,"Available","Out of stock")</f>
        <v>Out of stock</v>
      </c>
      <c r="J187" t="str">
        <f>IF(Table1[[#This Row],[rating]]&gt;=4,"High",IF(Table1[[#This Row],[rating]]&gt;=2.5,"Medium","Low"))</f>
        <v>Medium</v>
      </c>
      <c r="K187" t="str">
        <f>IF(Table1[[#This Row],[price]]&lt;200,"Budget",IF(Table1[[#This Row],[price]]&lt;600,"Mid-Range",IF(Table1[[#This Row],[price]]&lt;1000,"Premium","Luxury")))</f>
        <v>Luxury</v>
      </c>
      <c r="L187" t="str">
        <f>IF(Table1[[#This Row],[units_sold]]&lt;50,"Very Low",IF(Table1[[#This Row],[units_sold]]&lt;150,"Low",IF(Table1[[#This Row],[units_sold]]&lt;300,"Medium","High")))</f>
        <v>Very Low</v>
      </c>
      <c r="M187" t="str">
        <f t="shared" si="5"/>
        <v>Normal</v>
      </c>
      <c r="N187">
        <f>(Table1[[#This Row],[price]]*0.7)</f>
        <v>1003.31</v>
      </c>
    </row>
    <row r="188" spans="1:14" x14ac:dyDescent="0.35">
      <c r="A188" t="str">
        <f t="shared" si="4"/>
        <v>P187</v>
      </c>
      <c r="B188" t="s">
        <v>12</v>
      </c>
      <c r="C188" t="s">
        <v>7</v>
      </c>
      <c r="D188">
        <v>240.46</v>
      </c>
      <c r="E188">
        <v>449</v>
      </c>
      <c r="F188">
        <v>4.5</v>
      </c>
      <c r="G188" t="b">
        <v>0</v>
      </c>
      <c r="H188">
        <f>(Table1[[#This Row],[price]]*Table1[[#This Row],[units_sold]])</f>
        <v>107966.54000000001</v>
      </c>
      <c r="I188" t="str">
        <f>IF(Table1[[#This Row],[in_stock]]=TRUE,"Available","Out of stock")</f>
        <v>Out of stock</v>
      </c>
      <c r="J188" t="str">
        <f>IF(Table1[[#This Row],[rating]]&gt;=4,"High",IF(Table1[[#This Row],[rating]]&gt;=2.5,"Medium","Low"))</f>
        <v>High</v>
      </c>
      <c r="K188" t="str">
        <f>IF(Table1[[#This Row],[price]]&lt;200,"Budget",IF(Table1[[#This Row],[price]]&lt;600,"Mid-Range",IF(Table1[[#This Row],[price]]&lt;1000,"Premium","Luxury")))</f>
        <v>Mid-Range</v>
      </c>
      <c r="L188" t="str">
        <f>IF(Table1[[#This Row],[units_sold]]&lt;50,"Very Low",IF(Table1[[#This Row],[units_sold]]&lt;150,"Low",IF(Table1[[#This Row],[units_sold]]&lt;300,"Medium","High")))</f>
        <v>High</v>
      </c>
      <c r="M188" t="str">
        <f t="shared" si="5"/>
        <v>High Demand - Out of Stock</v>
      </c>
      <c r="N188">
        <f>(Table1[[#This Row],[price]]*0.7)</f>
        <v>168.322</v>
      </c>
    </row>
    <row r="189" spans="1:14" x14ac:dyDescent="0.35">
      <c r="A189" t="str">
        <f t="shared" si="4"/>
        <v>P188</v>
      </c>
      <c r="B189" t="s">
        <v>10</v>
      </c>
      <c r="C189" t="s">
        <v>9</v>
      </c>
      <c r="D189">
        <v>938.77</v>
      </c>
      <c r="E189">
        <v>388</v>
      </c>
      <c r="F189">
        <v>4.9000000000000004</v>
      </c>
      <c r="G189" t="b">
        <v>1</v>
      </c>
      <c r="H189">
        <f>(Table1[[#This Row],[price]]*Table1[[#This Row],[units_sold]])</f>
        <v>364242.76</v>
      </c>
      <c r="I189" t="str">
        <f>IF(Table1[[#This Row],[in_stock]]=TRUE,"Available","Out of stock")</f>
        <v>Available</v>
      </c>
      <c r="J189" t="str">
        <f>IF(Table1[[#This Row],[rating]]&gt;=4,"High",IF(Table1[[#This Row],[rating]]&gt;=2.5,"Medium","Low"))</f>
        <v>High</v>
      </c>
      <c r="K189" t="str">
        <f>IF(Table1[[#This Row],[price]]&lt;200,"Budget",IF(Table1[[#This Row],[price]]&lt;600,"Mid-Range",IF(Table1[[#This Row],[price]]&lt;1000,"Premium","Luxury")))</f>
        <v>Premium</v>
      </c>
      <c r="L189" t="str">
        <f>IF(Table1[[#This Row],[units_sold]]&lt;50,"Very Low",IF(Table1[[#This Row],[units_sold]]&lt;150,"Low",IF(Table1[[#This Row],[units_sold]]&lt;300,"Medium","High")))</f>
        <v>High</v>
      </c>
      <c r="M189" t="str">
        <f t="shared" si="5"/>
        <v>Normal</v>
      </c>
      <c r="N189">
        <f>(Table1[[#This Row],[price]]*0.7)</f>
        <v>657.1389999999999</v>
      </c>
    </row>
    <row r="190" spans="1:14" x14ac:dyDescent="0.35">
      <c r="A190" t="str">
        <f t="shared" si="4"/>
        <v>P189</v>
      </c>
      <c r="B190" t="s">
        <v>15</v>
      </c>
      <c r="C190" t="s">
        <v>7</v>
      </c>
      <c r="D190">
        <v>716.61</v>
      </c>
      <c r="E190">
        <v>104</v>
      </c>
      <c r="F190">
        <v>2.6</v>
      </c>
      <c r="G190" t="b">
        <v>1</v>
      </c>
      <c r="H190">
        <f>(Table1[[#This Row],[price]]*Table1[[#This Row],[units_sold]])</f>
        <v>74527.44</v>
      </c>
      <c r="I190" t="str">
        <f>IF(Table1[[#This Row],[in_stock]]=TRUE,"Available","Out of stock")</f>
        <v>Available</v>
      </c>
      <c r="J190" t="str">
        <f>IF(Table1[[#This Row],[rating]]&gt;=4,"High",IF(Table1[[#This Row],[rating]]&gt;=2.5,"Medium","Low"))</f>
        <v>Medium</v>
      </c>
      <c r="K190" t="str">
        <f>IF(Table1[[#This Row],[price]]&lt;200,"Budget",IF(Table1[[#This Row],[price]]&lt;600,"Mid-Range",IF(Table1[[#This Row],[price]]&lt;1000,"Premium","Luxury")))</f>
        <v>Premium</v>
      </c>
      <c r="L190" t="str">
        <f>IF(Table1[[#This Row],[units_sold]]&lt;50,"Very Low",IF(Table1[[#This Row],[units_sold]]&lt;150,"Low",IF(Table1[[#This Row],[units_sold]]&lt;300,"Medium","High")))</f>
        <v>Low</v>
      </c>
      <c r="M190" t="str">
        <f t="shared" si="5"/>
        <v>Normal</v>
      </c>
      <c r="N190">
        <f>(Table1[[#This Row],[price]]*0.7)</f>
        <v>501.62699999999995</v>
      </c>
    </row>
    <row r="191" spans="1:14" x14ac:dyDescent="0.35">
      <c r="A191" t="str">
        <f t="shared" si="4"/>
        <v>P190</v>
      </c>
      <c r="B191" t="s">
        <v>14</v>
      </c>
      <c r="C191" t="s">
        <v>9</v>
      </c>
      <c r="D191">
        <v>523.13</v>
      </c>
      <c r="E191">
        <v>483</v>
      </c>
      <c r="F191">
        <v>4.3</v>
      </c>
      <c r="G191" t="b">
        <v>1</v>
      </c>
      <c r="H191">
        <f>(Table1[[#This Row],[price]]*Table1[[#This Row],[units_sold]])</f>
        <v>252671.79</v>
      </c>
      <c r="I191" t="str">
        <f>IF(Table1[[#This Row],[in_stock]]=TRUE,"Available","Out of stock")</f>
        <v>Available</v>
      </c>
      <c r="J191" t="str">
        <f>IF(Table1[[#This Row],[rating]]&gt;=4,"High",IF(Table1[[#This Row],[rating]]&gt;=2.5,"Medium","Low"))</f>
        <v>High</v>
      </c>
      <c r="K191" t="str">
        <f>IF(Table1[[#This Row],[price]]&lt;200,"Budget",IF(Table1[[#This Row],[price]]&lt;600,"Mid-Range",IF(Table1[[#This Row],[price]]&lt;1000,"Premium","Luxury")))</f>
        <v>Mid-Range</v>
      </c>
      <c r="L191" t="str">
        <f>IF(Table1[[#This Row],[units_sold]]&lt;50,"Very Low",IF(Table1[[#This Row],[units_sold]]&lt;150,"Low",IF(Table1[[#This Row],[units_sold]]&lt;300,"Medium","High")))</f>
        <v>High</v>
      </c>
      <c r="M191" t="str">
        <f t="shared" si="5"/>
        <v>Normal</v>
      </c>
      <c r="N191">
        <f>(Table1[[#This Row],[price]]*0.7)</f>
        <v>366.19099999999997</v>
      </c>
    </row>
    <row r="192" spans="1:14" x14ac:dyDescent="0.35">
      <c r="A192" t="str">
        <f t="shared" si="4"/>
        <v>P191</v>
      </c>
      <c r="B192" t="s">
        <v>17</v>
      </c>
      <c r="C192" t="s">
        <v>7</v>
      </c>
      <c r="D192">
        <v>533.79</v>
      </c>
      <c r="E192">
        <v>224</v>
      </c>
      <c r="F192">
        <v>4.0999999999999996</v>
      </c>
      <c r="G192" t="b">
        <v>0</v>
      </c>
      <c r="H192">
        <f>(Table1[[#This Row],[price]]*Table1[[#This Row],[units_sold]])</f>
        <v>119568.95999999999</v>
      </c>
      <c r="I192" t="str">
        <f>IF(Table1[[#This Row],[in_stock]]=TRUE,"Available","Out of stock")</f>
        <v>Out of stock</v>
      </c>
      <c r="J192" t="str">
        <f>IF(Table1[[#This Row],[rating]]&gt;=4,"High",IF(Table1[[#This Row],[rating]]&gt;=2.5,"Medium","Low"))</f>
        <v>High</v>
      </c>
      <c r="K192" t="str">
        <f>IF(Table1[[#This Row],[price]]&lt;200,"Budget",IF(Table1[[#This Row],[price]]&lt;600,"Mid-Range",IF(Table1[[#This Row],[price]]&lt;1000,"Premium","Luxury")))</f>
        <v>Mid-Range</v>
      </c>
      <c r="L192" t="str">
        <f>IF(Table1[[#This Row],[units_sold]]&lt;50,"Very Low",IF(Table1[[#This Row],[units_sold]]&lt;150,"Low",IF(Table1[[#This Row],[units_sold]]&lt;300,"Medium","High")))</f>
        <v>Medium</v>
      </c>
      <c r="M192" t="str">
        <f t="shared" si="5"/>
        <v>Normal</v>
      </c>
      <c r="N192">
        <f>(Table1[[#This Row],[price]]*0.7)</f>
        <v>373.65299999999996</v>
      </c>
    </row>
    <row r="193" spans="1:14" x14ac:dyDescent="0.35">
      <c r="A193" t="str">
        <f t="shared" si="4"/>
        <v>P192</v>
      </c>
      <c r="B193" t="s">
        <v>14</v>
      </c>
      <c r="C193" t="s">
        <v>9</v>
      </c>
      <c r="D193">
        <v>625.05999999999995</v>
      </c>
      <c r="E193">
        <v>320</v>
      </c>
      <c r="F193">
        <v>3.3</v>
      </c>
      <c r="G193" t="b">
        <v>0</v>
      </c>
      <c r="H193">
        <f>(Table1[[#This Row],[price]]*Table1[[#This Row],[units_sold]])</f>
        <v>200019.19999999998</v>
      </c>
      <c r="I193" t="str">
        <f>IF(Table1[[#This Row],[in_stock]]=TRUE,"Available","Out of stock")</f>
        <v>Out of stock</v>
      </c>
      <c r="J193" t="str">
        <f>IF(Table1[[#This Row],[rating]]&gt;=4,"High",IF(Table1[[#This Row],[rating]]&gt;=2.5,"Medium","Low"))</f>
        <v>Medium</v>
      </c>
      <c r="K193" t="str">
        <f>IF(Table1[[#This Row],[price]]&lt;200,"Budget",IF(Table1[[#This Row],[price]]&lt;600,"Mid-Range",IF(Table1[[#This Row],[price]]&lt;1000,"Premium","Luxury")))</f>
        <v>Premium</v>
      </c>
      <c r="L193" t="str">
        <f>IF(Table1[[#This Row],[units_sold]]&lt;50,"Very Low",IF(Table1[[#This Row],[units_sold]]&lt;150,"Low",IF(Table1[[#This Row],[units_sold]]&lt;300,"Medium","High")))</f>
        <v>High</v>
      </c>
      <c r="M193" t="str">
        <f t="shared" si="5"/>
        <v>High Demand - Out of Stock</v>
      </c>
      <c r="N193">
        <f>(Table1[[#This Row],[price]]*0.7)</f>
        <v>437.54199999999992</v>
      </c>
    </row>
    <row r="194" spans="1:14" x14ac:dyDescent="0.35">
      <c r="A194" t="str">
        <f t="shared" ref="A194:A257" si="6">"P"&amp;TEXT(ROW()-1,"000")</f>
        <v>P193</v>
      </c>
      <c r="B194" t="s">
        <v>6</v>
      </c>
      <c r="C194" t="s">
        <v>7</v>
      </c>
      <c r="D194">
        <v>1060.3399999999999</v>
      </c>
      <c r="E194">
        <v>362</v>
      </c>
      <c r="F194">
        <v>4.8</v>
      </c>
      <c r="G194" t="b">
        <v>1</v>
      </c>
      <c r="H194">
        <f>(Table1[[#This Row],[price]]*Table1[[#This Row],[units_sold]])</f>
        <v>383843.07999999996</v>
      </c>
      <c r="I194" t="str">
        <f>IF(Table1[[#This Row],[in_stock]]=TRUE,"Available","Out of stock")</f>
        <v>Available</v>
      </c>
      <c r="J194" t="str">
        <f>IF(Table1[[#This Row],[rating]]&gt;=4,"High",IF(Table1[[#This Row],[rating]]&gt;=2.5,"Medium","Low"))</f>
        <v>High</v>
      </c>
      <c r="K194" t="str">
        <f>IF(Table1[[#This Row],[price]]&lt;200,"Budget",IF(Table1[[#This Row],[price]]&lt;600,"Mid-Range",IF(Table1[[#This Row],[price]]&lt;1000,"Premium","Luxury")))</f>
        <v>Luxury</v>
      </c>
      <c r="L194" t="str">
        <f>IF(Table1[[#This Row],[units_sold]]&lt;50,"Very Low",IF(Table1[[#This Row],[units_sold]]&lt;150,"Low",IF(Table1[[#This Row],[units_sold]]&lt;300,"Medium","High")))</f>
        <v>High</v>
      </c>
      <c r="M194" t="str">
        <f t="shared" ref="M194:M257" si="7">IF(AND(E194&gt;300,G194=FALSE),"High Demand - Out of Stock","Normal")</f>
        <v>Normal</v>
      </c>
      <c r="N194">
        <f>(Table1[[#This Row],[price]]*0.7)</f>
        <v>742.23799999999994</v>
      </c>
    </row>
    <row r="195" spans="1:14" x14ac:dyDescent="0.35">
      <c r="A195" t="str">
        <f t="shared" si="6"/>
        <v>P194</v>
      </c>
      <c r="B195" t="s">
        <v>16</v>
      </c>
      <c r="C195" t="s">
        <v>9</v>
      </c>
      <c r="D195">
        <v>901.45</v>
      </c>
      <c r="E195">
        <v>354</v>
      </c>
      <c r="F195">
        <v>1.8</v>
      </c>
      <c r="G195" t="b">
        <v>0</v>
      </c>
      <c r="H195">
        <f>(Table1[[#This Row],[price]]*Table1[[#This Row],[units_sold]])</f>
        <v>319113.3</v>
      </c>
      <c r="I195" t="str">
        <f>IF(Table1[[#This Row],[in_stock]]=TRUE,"Available","Out of stock")</f>
        <v>Out of stock</v>
      </c>
      <c r="J195" t="str">
        <f>IF(Table1[[#This Row],[rating]]&gt;=4,"High",IF(Table1[[#This Row],[rating]]&gt;=2.5,"Medium","Low"))</f>
        <v>Low</v>
      </c>
      <c r="K195" t="str">
        <f>IF(Table1[[#This Row],[price]]&lt;200,"Budget",IF(Table1[[#This Row],[price]]&lt;600,"Mid-Range",IF(Table1[[#This Row],[price]]&lt;1000,"Premium","Luxury")))</f>
        <v>Premium</v>
      </c>
      <c r="L195" t="str">
        <f>IF(Table1[[#This Row],[units_sold]]&lt;50,"Very Low",IF(Table1[[#This Row],[units_sold]]&lt;150,"Low",IF(Table1[[#This Row],[units_sold]]&lt;300,"Medium","High")))</f>
        <v>High</v>
      </c>
      <c r="M195" t="str">
        <f t="shared" si="7"/>
        <v>High Demand - Out of Stock</v>
      </c>
      <c r="N195">
        <f>(Table1[[#This Row],[price]]*0.7)</f>
        <v>631.01499999999999</v>
      </c>
    </row>
    <row r="196" spans="1:14" x14ac:dyDescent="0.35">
      <c r="A196" t="str">
        <f t="shared" si="6"/>
        <v>P195</v>
      </c>
      <c r="B196" t="s">
        <v>15</v>
      </c>
      <c r="C196" t="s">
        <v>7</v>
      </c>
      <c r="D196">
        <v>694.93</v>
      </c>
      <c r="E196">
        <v>491</v>
      </c>
      <c r="F196">
        <v>1.4</v>
      </c>
      <c r="G196" t="b">
        <v>1</v>
      </c>
      <c r="H196">
        <f>(Table1[[#This Row],[price]]*Table1[[#This Row],[units_sold]])</f>
        <v>341210.62999999995</v>
      </c>
      <c r="I196" t="str">
        <f>IF(Table1[[#This Row],[in_stock]]=TRUE,"Available","Out of stock")</f>
        <v>Available</v>
      </c>
      <c r="J196" t="str">
        <f>IF(Table1[[#This Row],[rating]]&gt;=4,"High",IF(Table1[[#This Row],[rating]]&gt;=2.5,"Medium","Low"))</f>
        <v>Low</v>
      </c>
      <c r="K196" t="str">
        <f>IF(Table1[[#This Row],[price]]&lt;200,"Budget",IF(Table1[[#This Row],[price]]&lt;600,"Mid-Range",IF(Table1[[#This Row],[price]]&lt;1000,"Premium","Luxury")))</f>
        <v>Premium</v>
      </c>
      <c r="L196" t="str">
        <f>IF(Table1[[#This Row],[units_sold]]&lt;50,"Very Low",IF(Table1[[#This Row],[units_sold]]&lt;150,"Low",IF(Table1[[#This Row],[units_sold]]&lt;300,"Medium","High")))</f>
        <v>High</v>
      </c>
      <c r="M196" t="str">
        <f t="shared" si="7"/>
        <v>Normal</v>
      </c>
      <c r="N196">
        <f>(Table1[[#This Row],[price]]*0.7)</f>
        <v>486.45099999999991</v>
      </c>
    </row>
    <row r="197" spans="1:14" x14ac:dyDescent="0.35">
      <c r="A197" t="str">
        <f t="shared" si="6"/>
        <v>P196</v>
      </c>
      <c r="B197" t="s">
        <v>6</v>
      </c>
      <c r="C197" t="s">
        <v>7</v>
      </c>
      <c r="D197">
        <v>123.14</v>
      </c>
      <c r="E197">
        <v>473</v>
      </c>
      <c r="F197">
        <v>4.4000000000000004</v>
      </c>
      <c r="G197" t="b">
        <v>0</v>
      </c>
      <c r="H197">
        <f>(Table1[[#This Row],[price]]*Table1[[#This Row],[units_sold]])</f>
        <v>58245.22</v>
      </c>
      <c r="I197" t="str">
        <f>IF(Table1[[#This Row],[in_stock]]=TRUE,"Available","Out of stock")</f>
        <v>Out of stock</v>
      </c>
      <c r="J197" t="str">
        <f>IF(Table1[[#This Row],[rating]]&gt;=4,"High",IF(Table1[[#This Row],[rating]]&gt;=2.5,"Medium","Low"))</f>
        <v>High</v>
      </c>
      <c r="K197" t="str">
        <f>IF(Table1[[#This Row],[price]]&lt;200,"Budget",IF(Table1[[#This Row],[price]]&lt;600,"Mid-Range",IF(Table1[[#This Row],[price]]&lt;1000,"Premium","Luxury")))</f>
        <v>Budget</v>
      </c>
      <c r="L197" t="str">
        <f>IF(Table1[[#This Row],[units_sold]]&lt;50,"Very Low",IF(Table1[[#This Row],[units_sold]]&lt;150,"Low",IF(Table1[[#This Row],[units_sold]]&lt;300,"Medium","High")))</f>
        <v>High</v>
      </c>
      <c r="M197" t="str">
        <f t="shared" si="7"/>
        <v>High Demand - Out of Stock</v>
      </c>
      <c r="N197">
        <f>(Table1[[#This Row],[price]]*0.7)</f>
        <v>86.197999999999993</v>
      </c>
    </row>
    <row r="198" spans="1:14" x14ac:dyDescent="0.35">
      <c r="A198" t="str">
        <f t="shared" si="6"/>
        <v>P197</v>
      </c>
      <c r="B198" t="s">
        <v>12</v>
      </c>
      <c r="C198" t="s">
        <v>7</v>
      </c>
      <c r="D198">
        <v>125.87</v>
      </c>
      <c r="E198">
        <v>10</v>
      </c>
      <c r="F198">
        <v>2.8</v>
      </c>
      <c r="G198" t="b">
        <v>1</v>
      </c>
      <c r="H198">
        <f>(Table1[[#This Row],[price]]*Table1[[#This Row],[units_sold]])</f>
        <v>1258.7</v>
      </c>
      <c r="I198" t="str">
        <f>IF(Table1[[#This Row],[in_stock]]=TRUE,"Available","Out of stock")</f>
        <v>Available</v>
      </c>
      <c r="J198" t="str">
        <f>IF(Table1[[#This Row],[rating]]&gt;=4,"High",IF(Table1[[#This Row],[rating]]&gt;=2.5,"Medium","Low"))</f>
        <v>Medium</v>
      </c>
      <c r="K198" t="str">
        <f>IF(Table1[[#This Row],[price]]&lt;200,"Budget",IF(Table1[[#This Row],[price]]&lt;600,"Mid-Range",IF(Table1[[#This Row],[price]]&lt;1000,"Premium","Luxury")))</f>
        <v>Budget</v>
      </c>
      <c r="L198" t="str">
        <f>IF(Table1[[#This Row],[units_sold]]&lt;50,"Very Low",IF(Table1[[#This Row],[units_sold]]&lt;150,"Low",IF(Table1[[#This Row],[units_sold]]&lt;300,"Medium","High")))</f>
        <v>Very Low</v>
      </c>
      <c r="M198" t="str">
        <f t="shared" si="7"/>
        <v>Normal</v>
      </c>
      <c r="N198">
        <f>(Table1[[#This Row],[price]]*0.7)</f>
        <v>88.108999999999995</v>
      </c>
    </row>
    <row r="199" spans="1:14" x14ac:dyDescent="0.35">
      <c r="A199" t="str">
        <f t="shared" si="6"/>
        <v>P198</v>
      </c>
      <c r="B199" t="s">
        <v>17</v>
      </c>
      <c r="C199" t="s">
        <v>7</v>
      </c>
      <c r="D199">
        <v>13.49</v>
      </c>
      <c r="E199">
        <v>405</v>
      </c>
      <c r="F199">
        <v>4.4000000000000004</v>
      </c>
      <c r="G199" t="b">
        <v>0</v>
      </c>
      <c r="H199">
        <f>(Table1[[#This Row],[price]]*Table1[[#This Row],[units_sold]])</f>
        <v>5463.45</v>
      </c>
      <c r="I199" t="str">
        <f>IF(Table1[[#This Row],[in_stock]]=TRUE,"Available","Out of stock")</f>
        <v>Out of stock</v>
      </c>
      <c r="J199" t="str">
        <f>IF(Table1[[#This Row],[rating]]&gt;=4,"High",IF(Table1[[#This Row],[rating]]&gt;=2.5,"Medium","Low"))</f>
        <v>High</v>
      </c>
      <c r="K199" t="str">
        <f>IF(Table1[[#This Row],[price]]&lt;200,"Budget",IF(Table1[[#This Row],[price]]&lt;600,"Mid-Range",IF(Table1[[#This Row],[price]]&lt;1000,"Premium","Luxury")))</f>
        <v>Budget</v>
      </c>
      <c r="L199" t="str">
        <f>IF(Table1[[#This Row],[units_sold]]&lt;50,"Very Low",IF(Table1[[#This Row],[units_sold]]&lt;150,"Low",IF(Table1[[#This Row],[units_sold]]&lt;300,"Medium","High")))</f>
        <v>High</v>
      </c>
      <c r="M199" t="str">
        <f t="shared" si="7"/>
        <v>High Demand - Out of Stock</v>
      </c>
      <c r="N199">
        <f>(Table1[[#This Row],[price]]*0.7)</f>
        <v>9.4429999999999996</v>
      </c>
    </row>
    <row r="200" spans="1:14" x14ac:dyDescent="0.35">
      <c r="A200" t="str">
        <f t="shared" si="6"/>
        <v>P199</v>
      </c>
      <c r="B200" t="s">
        <v>11</v>
      </c>
      <c r="C200" t="s">
        <v>9</v>
      </c>
      <c r="D200">
        <v>1451.87</v>
      </c>
      <c r="E200">
        <v>384</v>
      </c>
      <c r="F200">
        <v>4.5999999999999996</v>
      </c>
      <c r="G200" t="b">
        <v>1</v>
      </c>
      <c r="H200">
        <f>(Table1[[#This Row],[price]]*Table1[[#This Row],[units_sold]])</f>
        <v>557518.07999999996</v>
      </c>
      <c r="I200" t="str">
        <f>IF(Table1[[#This Row],[in_stock]]=TRUE,"Available","Out of stock")</f>
        <v>Available</v>
      </c>
      <c r="J200" t="str">
        <f>IF(Table1[[#This Row],[rating]]&gt;=4,"High",IF(Table1[[#This Row],[rating]]&gt;=2.5,"Medium","Low"))</f>
        <v>High</v>
      </c>
      <c r="K200" t="str">
        <f>IF(Table1[[#This Row],[price]]&lt;200,"Budget",IF(Table1[[#This Row],[price]]&lt;600,"Mid-Range",IF(Table1[[#This Row],[price]]&lt;1000,"Premium","Luxury")))</f>
        <v>Luxury</v>
      </c>
      <c r="L200" t="str">
        <f>IF(Table1[[#This Row],[units_sold]]&lt;50,"Very Low",IF(Table1[[#This Row],[units_sold]]&lt;150,"Low",IF(Table1[[#This Row],[units_sold]]&lt;300,"Medium","High")))</f>
        <v>High</v>
      </c>
      <c r="M200" t="str">
        <f t="shared" si="7"/>
        <v>Normal</v>
      </c>
      <c r="N200">
        <f>(Table1[[#This Row],[price]]*0.7)</f>
        <v>1016.3089999999999</v>
      </c>
    </row>
    <row r="201" spans="1:14" x14ac:dyDescent="0.35">
      <c r="A201" t="str">
        <f t="shared" si="6"/>
        <v>P200</v>
      </c>
      <c r="B201" t="s">
        <v>15</v>
      </c>
      <c r="C201" t="s">
        <v>7</v>
      </c>
      <c r="D201">
        <v>17.829999999999998</v>
      </c>
      <c r="E201">
        <v>302</v>
      </c>
      <c r="F201">
        <v>1.2</v>
      </c>
      <c r="G201" t="b">
        <v>1</v>
      </c>
      <c r="H201">
        <f>(Table1[[#This Row],[price]]*Table1[[#This Row],[units_sold]])</f>
        <v>5384.66</v>
      </c>
      <c r="I201" t="str">
        <f>IF(Table1[[#This Row],[in_stock]]=TRUE,"Available","Out of stock")</f>
        <v>Available</v>
      </c>
      <c r="J201" t="str">
        <f>IF(Table1[[#This Row],[rating]]&gt;=4,"High",IF(Table1[[#This Row],[rating]]&gt;=2.5,"Medium","Low"))</f>
        <v>Low</v>
      </c>
      <c r="K201" t="str">
        <f>IF(Table1[[#This Row],[price]]&lt;200,"Budget",IF(Table1[[#This Row],[price]]&lt;600,"Mid-Range",IF(Table1[[#This Row],[price]]&lt;1000,"Premium","Luxury")))</f>
        <v>Budget</v>
      </c>
      <c r="L201" t="str">
        <f>IF(Table1[[#This Row],[units_sold]]&lt;50,"Very Low",IF(Table1[[#This Row],[units_sold]]&lt;150,"Low",IF(Table1[[#This Row],[units_sold]]&lt;300,"Medium","High")))</f>
        <v>High</v>
      </c>
      <c r="M201" t="str">
        <f t="shared" si="7"/>
        <v>Normal</v>
      </c>
      <c r="N201">
        <f>(Table1[[#This Row],[price]]*0.7)</f>
        <v>12.480999999999998</v>
      </c>
    </row>
    <row r="202" spans="1:14" x14ac:dyDescent="0.35">
      <c r="A202" t="str">
        <f t="shared" si="6"/>
        <v>P201</v>
      </c>
      <c r="B202" t="s">
        <v>15</v>
      </c>
      <c r="C202" t="s">
        <v>7</v>
      </c>
      <c r="D202">
        <v>163.61000000000001</v>
      </c>
      <c r="E202">
        <v>231</v>
      </c>
      <c r="F202">
        <v>4.5</v>
      </c>
      <c r="G202" t="b">
        <v>1</v>
      </c>
      <c r="H202">
        <f>(Table1[[#This Row],[price]]*Table1[[#This Row],[units_sold]])</f>
        <v>37793.910000000003</v>
      </c>
      <c r="I202" t="str">
        <f>IF(Table1[[#This Row],[in_stock]]=TRUE,"Available","Out of stock")</f>
        <v>Available</v>
      </c>
      <c r="J202" t="str">
        <f>IF(Table1[[#This Row],[rating]]&gt;=4,"High",IF(Table1[[#This Row],[rating]]&gt;=2.5,"Medium","Low"))</f>
        <v>High</v>
      </c>
      <c r="K202" t="str">
        <f>IF(Table1[[#This Row],[price]]&lt;200,"Budget",IF(Table1[[#This Row],[price]]&lt;600,"Mid-Range",IF(Table1[[#This Row],[price]]&lt;1000,"Premium","Luxury")))</f>
        <v>Budget</v>
      </c>
      <c r="L202" t="str">
        <f>IF(Table1[[#This Row],[units_sold]]&lt;50,"Very Low",IF(Table1[[#This Row],[units_sold]]&lt;150,"Low",IF(Table1[[#This Row],[units_sold]]&lt;300,"Medium","High")))</f>
        <v>Medium</v>
      </c>
      <c r="M202" t="str">
        <f t="shared" si="7"/>
        <v>Normal</v>
      </c>
      <c r="N202">
        <f>(Table1[[#This Row],[price]]*0.7)</f>
        <v>114.527</v>
      </c>
    </row>
    <row r="203" spans="1:14" x14ac:dyDescent="0.35">
      <c r="A203" t="str">
        <f t="shared" si="6"/>
        <v>P202</v>
      </c>
      <c r="B203" t="s">
        <v>16</v>
      </c>
      <c r="C203" t="s">
        <v>9</v>
      </c>
      <c r="D203">
        <v>478.75</v>
      </c>
      <c r="E203">
        <v>219</v>
      </c>
      <c r="F203">
        <v>2.8</v>
      </c>
      <c r="G203" t="b">
        <v>0</v>
      </c>
      <c r="H203">
        <f>(Table1[[#This Row],[price]]*Table1[[#This Row],[units_sold]])</f>
        <v>104846.25</v>
      </c>
      <c r="I203" t="str">
        <f>IF(Table1[[#This Row],[in_stock]]=TRUE,"Available","Out of stock")</f>
        <v>Out of stock</v>
      </c>
      <c r="J203" t="str">
        <f>IF(Table1[[#This Row],[rating]]&gt;=4,"High",IF(Table1[[#This Row],[rating]]&gt;=2.5,"Medium","Low"))</f>
        <v>Medium</v>
      </c>
      <c r="K203" t="str">
        <f>IF(Table1[[#This Row],[price]]&lt;200,"Budget",IF(Table1[[#This Row],[price]]&lt;600,"Mid-Range",IF(Table1[[#This Row],[price]]&lt;1000,"Premium","Luxury")))</f>
        <v>Mid-Range</v>
      </c>
      <c r="L203" t="str">
        <f>IF(Table1[[#This Row],[units_sold]]&lt;50,"Very Low",IF(Table1[[#This Row],[units_sold]]&lt;150,"Low",IF(Table1[[#This Row],[units_sold]]&lt;300,"Medium","High")))</f>
        <v>Medium</v>
      </c>
      <c r="M203" t="str">
        <f t="shared" si="7"/>
        <v>Normal</v>
      </c>
      <c r="N203">
        <f>(Table1[[#This Row],[price]]*0.7)</f>
        <v>335.125</v>
      </c>
    </row>
    <row r="204" spans="1:14" x14ac:dyDescent="0.35">
      <c r="A204" t="str">
        <f t="shared" si="6"/>
        <v>P203</v>
      </c>
      <c r="B204" t="s">
        <v>8</v>
      </c>
      <c r="C204" t="s">
        <v>9</v>
      </c>
      <c r="D204">
        <v>1213.07</v>
      </c>
      <c r="E204">
        <v>411</v>
      </c>
      <c r="F204">
        <v>3</v>
      </c>
      <c r="G204" t="b">
        <v>0</v>
      </c>
      <c r="H204">
        <f>(Table1[[#This Row],[price]]*Table1[[#This Row],[units_sold]])</f>
        <v>498571.76999999996</v>
      </c>
      <c r="I204" t="str">
        <f>IF(Table1[[#This Row],[in_stock]]=TRUE,"Available","Out of stock")</f>
        <v>Out of stock</v>
      </c>
      <c r="J204" t="str">
        <f>IF(Table1[[#This Row],[rating]]&gt;=4,"High",IF(Table1[[#This Row],[rating]]&gt;=2.5,"Medium","Low"))</f>
        <v>Medium</v>
      </c>
      <c r="K204" t="str">
        <f>IF(Table1[[#This Row],[price]]&lt;200,"Budget",IF(Table1[[#This Row],[price]]&lt;600,"Mid-Range",IF(Table1[[#This Row],[price]]&lt;1000,"Premium","Luxury")))</f>
        <v>Luxury</v>
      </c>
      <c r="L204" t="str">
        <f>IF(Table1[[#This Row],[units_sold]]&lt;50,"Very Low",IF(Table1[[#This Row],[units_sold]]&lt;150,"Low",IF(Table1[[#This Row],[units_sold]]&lt;300,"Medium","High")))</f>
        <v>High</v>
      </c>
      <c r="M204" t="str">
        <f t="shared" si="7"/>
        <v>High Demand - Out of Stock</v>
      </c>
      <c r="N204">
        <f>(Table1[[#This Row],[price]]*0.7)</f>
        <v>849.14899999999989</v>
      </c>
    </row>
    <row r="205" spans="1:14" x14ac:dyDescent="0.35">
      <c r="A205" t="str">
        <f t="shared" si="6"/>
        <v>P204</v>
      </c>
      <c r="B205" t="s">
        <v>15</v>
      </c>
      <c r="C205" t="s">
        <v>7</v>
      </c>
      <c r="D205">
        <v>1443.53</v>
      </c>
      <c r="E205">
        <v>66</v>
      </c>
      <c r="F205">
        <v>3.5</v>
      </c>
      <c r="G205" t="b">
        <v>0</v>
      </c>
      <c r="H205">
        <f>(Table1[[#This Row],[price]]*Table1[[#This Row],[units_sold]])</f>
        <v>95272.98</v>
      </c>
      <c r="I205" t="str">
        <f>IF(Table1[[#This Row],[in_stock]]=TRUE,"Available","Out of stock")</f>
        <v>Out of stock</v>
      </c>
      <c r="J205" t="str">
        <f>IF(Table1[[#This Row],[rating]]&gt;=4,"High",IF(Table1[[#This Row],[rating]]&gt;=2.5,"Medium","Low"))</f>
        <v>Medium</v>
      </c>
      <c r="K205" t="str">
        <f>IF(Table1[[#This Row],[price]]&lt;200,"Budget",IF(Table1[[#This Row],[price]]&lt;600,"Mid-Range",IF(Table1[[#This Row],[price]]&lt;1000,"Premium","Luxury")))</f>
        <v>Luxury</v>
      </c>
      <c r="L205" t="str">
        <f>IF(Table1[[#This Row],[units_sold]]&lt;50,"Very Low",IF(Table1[[#This Row],[units_sold]]&lt;150,"Low",IF(Table1[[#This Row],[units_sold]]&lt;300,"Medium","High")))</f>
        <v>Low</v>
      </c>
      <c r="M205" t="str">
        <f t="shared" si="7"/>
        <v>Normal</v>
      </c>
      <c r="N205">
        <f>(Table1[[#This Row],[price]]*0.7)</f>
        <v>1010.4709999999999</v>
      </c>
    </row>
    <row r="206" spans="1:14" x14ac:dyDescent="0.35">
      <c r="A206" t="str">
        <f t="shared" si="6"/>
        <v>P205</v>
      </c>
      <c r="B206" t="s">
        <v>13</v>
      </c>
      <c r="C206" t="s">
        <v>9</v>
      </c>
      <c r="D206">
        <v>1187.1199999999999</v>
      </c>
      <c r="E206">
        <v>425</v>
      </c>
      <c r="F206">
        <v>4.7</v>
      </c>
      <c r="G206" t="b">
        <v>0</v>
      </c>
      <c r="H206">
        <f>(Table1[[#This Row],[price]]*Table1[[#This Row],[units_sold]])</f>
        <v>504525.99999999994</v>
      </c>
      <c r="I206" t="str">
        <f>IF(Table1[[#This Row],[in_stock]]=TRUE,"Available","Out of stock")</f>
        <v>Out of stock</v>
      </c>
      <c r="J206" t="str">
        <f>IF(Table1[[#This Row],[rating]]&gt;=4,"High",IF(Table1[[#This Row],[rating]]&gt;=2.5,"Medium","Low"))</f>
        <v>High</v>
      </c>
      <c r="K206" t="str">
        <f>IF(Table1[[#This Row],[price]]&lt;200,"Budget",IF(Table1[[#This Row],[price]]&lt;600,"Mid-Range",IF(Table1[[#This Row],[price]]&lt;1000,"Premium","Luxury")))</f>
        <v>Luxury</v>
      </c>
      <c r="L206" t="str">
        <f>IF(Table1[[#This Row],[units_sold]]&lt;50,"Very Low",IF(Table1[[#This Row],[units_sold]]&lt;150,"Low",IF(Table1[[#This Row],[units_sold]]&lt;300,"Medium","High")))</f>
        <v>High</v>
      </c>
      <c r="M206" t="str">
        <f t="shared" si="7"/>
        <v>High Demand - Out of Stock</v>
      </c>
      <c r="N206">
        <f>(Table1[[#This Row],[price]]*0.7)</f>
        <v>830.98399999999992</v>
      </c>
    </row>
    <row r="207" spans="1:14" x14ac:dyDescent="0.35">
      <c r="A207" t="str">
        <f t="shared" si="6"/>
        <v>P206</v>
      </c>
      <c r="B207" t="s">
        <v>17</v>
      </c>
      <c r="C207" t="s">
        <v>7</v>
      </c>
      <c r="D207">
        <v>1038.93</v>
      </c>
      <c r="E207">
        <v>112</v>
      </c>
      <c r="F207">
        <v>1.1000000000000001</v>
      </c>
      <c r="G207" t="b">
        <v>1</v>
      </c>
      <c r="H207">
        <f>(Table1[[#This Row],[price]]*Table1[[#This Row],[units_sold]])</f>
        <v>116360.16</v>
      </c>
      <c r="I207" t="str">
        <f>IF(Table1[[#This Row],[in_stock]]=TRUE,"Available","Out of stock")</f>
        <v>Available</v>
      </c>
      <c r="J207" t="str">
        <f>IF(Table1[[#This Row],[rating]]&gt;=4,"High",IF(Table1[[#This Row],[rating]]&gt;=2.5,"Medium","Low"))</f>
        <v>Low</v>
      </c>
      <c r="K207" t="str">
        <f>IF(Table1[[#This Row],[price]]&lt;200,"Budget",IF(Table1[[#This Row],[price]]&lt;600,"Mid-Range",IF(Table1[[#This Row],[price]]&lt;1000,"Premium","Luxury")))</f>
        <v>Luxury</v>
      </c>
      <c r="L207" t="str">
        <f>IF(Table1[[#This Row],[units_sold]]&lt;50,"Very Low",IF(Table1[[#This Row],[units_sold]]&lt;150,"Low",IF(Table1[[#This Row],[units_sold]]&lt;300,"Medium","High")))</f>
        <v>Low</v>
      </c>
      <c r="M207" t="str">
        <f t="shared" si="7"/>
        <v>Normal</v>
      </c>
      <c r="N207">
        <f>(Table1[[#This Row],[price]]*0.7)</f>
        <v>727.25099999999998</v>
      </c>
    </row>
    <row r="208" spans="1:14" x14ac:dyDescent="0.35">
      <c r="A208" t="str">
        <f t="shared" si="6"/>
        <v>P207</v>
      </c>
      <c r="B208" t="s">
        <v>17</v>
      </c>
      <c r="C208" t="s">
        <v>7</v>
      </c>
      <c r="D208">
        <v>786.74</v>
      </c>
      <c r="E208">
        <v>13</v>
      </c>
      <c r="F208">
        <v>2.9</v>
      </c>
      <c r="G208" t="b">
        <v>1</v>
      </c>
      <c r="H208">
        <f>(Table1[[#This Row],[price]]*Table1[[#This Row],[units_sold]])</f>
        <v>10227.620000000001</v>
      </c>
      <c r="I208" t="str">
        <f>IF(Table1[[#This Row],[in_stock]]=TRUE,"Available","Out of stock")</f>
        <v>Available</v>
      </c>
      <c r="J208" t="str">
        <f>IF(Table1[[#This Row],[rating]]&gt;=4,"High",IF(Table1[[#This Row],[rating]]&gt;=2.5,"Medium","Low"))</f>
        <v>Medium</v>
      </c>
      <c r="K208" t="str">
        <f>IF(Table1[[#This Row],[price]]&lt;200,"Budget",IF(Table1[[#This Row],[price]]&lt;600,"Mid-Range",IF(Table1[[#This Row],[price]]&lt;1000,"Premium","Luxury")))</f>
        <v>Premium</v>
      </c>
      <c r="L208" t="str">
        <f>IF(Table1[[#This Row],[units_sold]]&lt;50,"Very Low",IF(Table1[[#This Row],[units_sold]]&lt;150,"Low",IF(Table1[[#This Row],[units_sold]]&lt;300,"Medium","High")))</f>
        <v>Very Low</v>
      </c>
      <c r="M208" t="str">
        <f t="shared" si="7"/>
        <v>Normal</v>
      </c>
      <c r="N208">
        <f>(Table1[[#This Row],[price]]*0.7)</f>
        <v>550.71799999999996</v>
      </c>
    </row>
    <row r="209" spans="1:14" x14ac:dyDescent="0.35">
      <c r="A209" t="str">
        <f t="shared" si="6"/>
        <v>P208</v>
      </c>
      <c r="B209" t="s">
        <v>13</v>
      </c>
      <c r="C209" t="s">
        <v>9</v>
      </c>
      <c r="D209">
        <v>139.19</v>
      </c>
      <c r="E209">
        <v>393</v>
      </c>
      <c r="F209">
        <v>3.8</v>
      </c>
      <c r="G209" t="b">
        <v>1</v>
      </c>
      <c r="H209">
        <f>(Table1[[#This Row],[price]]*Table1[[#This Row],[units_sold]])</f>
        <v>54701.67</v>
      </c>
      <c r="I209" t="str">
        <f>IF(Table1[[#This Row],[in_stock]]=TRUE,"Available","Out of stock")</f>
        <v>Available</v>
      </c>
      <c r="J209" t="str">
        <f>IF(Table1[[#This Row],[rating]]&gt;=4,"High",IF(Table1[[#This Row],[rating]]&gt;=2.5,"Medium","Low"))</f>
        <v>Medium</v>
      </c>
      <c r="K209" t="str">
        <f>IF(Table1[[#This Row],[price]]&lt;200,"Budget",IF(Table1[[#This Row],[price]]&lt;600,"Mid-Range",IF(Table1[[#This Row],[price]]&lt;1000,"Premium","Luxury")))</f>
        <v>Budget</v>
      </c>
      <c r="L209" t="str">
        <f>IF(Table1[[#This Row],[units_sold]]&lt;50,"Very Low",IF(Table1[[#This Row],[units_sold]]&lt;150,"Low",IF(Table1[[#This Row],[units_sold]]&lt;300,"Medium","High")))</f>
        <v>High</v>
      </c>
      <c r="M209" t="str">
        <f t="shared" si="7"/>
        <v>Normal</v>
      </c>
      <c r="N209">
        <f>(Table1[[#This Row],[price]]*0.7)</f>
        <v>97.432999999999993</v>
      </c>
    </row>
    <row r="210" spans="1:14" x14ac:dyDescent="0.35">
      <c r="A210" t="str">
        <f t="shared" si="6"/>
        <v>P209</v>
      </c>
      <c r="B210" t="s">
        <v>10</v>
      </c>
      <c r="C210" t="s">
        <v>9</v>
      </c>
      <c r="D210">
        <v>1437.67</v>
      </c>
      <c r="E210">
        <v>420</v>
      </c>
      <c r="F210">
        <v>3.9</v>
      </c>
      <c r="G210" t="b">
        <v>1</v>
      </c>
      <c r="H210">
        <f>(Table1[[#This Row],[price]]*Table1[[#This Row],[units_sold]])</f>
        <v>603821.4</v>
      </c>
      <c r="I210" t="str">
        <f>IF(Table1[[#This Row],[in_stock]]=TRUE,"Available","Out of stock")</f>
        <v>Available</v>
      </c>
      <c r="J210" t="str">
        <f>IF(Table1[[#This Row],[rating]]&gt;=4,"High",IF(Table1[[#This Row],[rating]]&gt;=2.5,"Medium","Low"))</f>
        <v>Medium</v>
      </c>
      <c r="K210" t="str">
        <f>IF(Table1[[#This Row],[price]]&lt;200,"Budget",IF(Table1[[#This Row],[price]]&lt;600,"Mid-Range",IF(Table1[[#This Row],[price]]&lt;1000,"Premium","Luxury")))</f>
        <v>Luxury</v>
      </c>
      <c r="L210" t="str">
        <f>IF(Table1[[#This Row],[units_sold]]&lt;50,"Very Low",IF(Table1[[#This Row],[units_sold]]&lt;150,"Low",IF(Table1[[#This Row],[units_sold]]&lt;300,"Medium","High")))</f>
        <v>High</v>
      </c>
      <c r="M210" t="str">
        <f t="shared" si="7"/>
        <v>Normal</v>
      </c>
      <c r="N210">
        <f>(Table1[[#This Row],[price]]*0.7)</f>
        <v>1006.369</v>
      </c>
    </row>
    <row r="211" spans="1:14" x14ac:dyDescent="0.35">
      <c r="A211" t="str">
        <f t="shared" si="6"/>
        <v>P210</v>
      </c>
      <c r="B211" t="s">
        <v>13</v>
      </c>
      <c r="C211" t="s">
        <v>9</v>
      </c>
      <c r="D211">
        <v>1140</v>
      </c>
      <c r="E211">
        <v>86</v>
      </c>
      <c r="F211">
        <v>3.8</v>
      </c>
      <c r="G211" t="b">
        <v>1</v>
      </c>
      <c r="H211">
        <f>(Table1[[#This Row],[price]]*Table1[[#This Row],[units_sold]])</f>
        <v>98040</v>
      </c>
      <c r="I211" t="str">
        <f>IF(Table1[[#This Row],[in_stock]]=TRUE,"Available","Out of stock")</f>
        <v>Available</v>
      </c>
      <c r="J211" t="str">
        <f>IF(Table1[[#This Row],[rating]]&gt;=4,"High",IF(Table1[[#This Row],[rating]]&gt;=2.5,"Medium","Low"))</f>
        <v>Medium</v>
      </c>
      <c r="K211" t="str">
        <f>IF(Table1[[#This Row],[price]]&lt;200,"Budget",IF(Table1[[#This Row],[price]]&lt;600,"Mid-Range",IF(Table1[[#This Row],[price]]&lt;1000,"Premium","Luxury")))</f>
        <v>Luxury</v>
      </c>
      <c r="L211" t="str">
        <f>IF(Table1[[#This Row],[units_sold]]&lt;50,"Very Low",IF(Table1[[#This Row],[units_sold]]&lt;150,"Low",IF(Table1[[#This Row],[units_sold]]&lt;300,"Medium","High")))</f>
        <v>Low</v>
      </c>
      <c r="M211" t="str">
        <f t="shared" si="7"/>
        <v>Normal</v>
      </c>
      <c r="N211">
        <f>(Table1[[#This Row],[price]]*0.7)</f>
        <v>798</v>
      </c>
    </row>
    <row r="212" spans="1:14" x14ac:dyDescent="0.35">
      <c r="A212" t="str">
        <f t="shared" si="6"/>
        <v>P211</v>
      </c>
      <c r="B212" t="s">
        <v>13</v>
      </c>
      <c r="C212" t="s">
        <v>9</v>
      </c>
      <c r="D212">
        <v>962.03</v>
      </c>
      <c r="E212">
        <v>234</v>
      </c>
      <c r="F212">
        <v>1.5</v>
      </c>
      <c r="G212" t="b">
        <v>1</v>
      </c>
      <c r="H212">
        <f>(Table1[[#This Row],[price]]*Table1[[#This Row],[units_sold]])</f>
        <v>225115.02</v>
      </c>
      <c r="I212" t="str">
        <f>IF(Table1[[#This Row],[in_stock]]=TRUE,"Available","Out of stock")</f>
        <v>Available</v>
      </c>
      <c r="J212" t="str">
        <f>IF(Table1[[#This Row],[rating]]&gt;=4,"High",IF(Table1[[#This Row],[rating]]&gt;=2.5,"Medium","Low"))</f>
        <v>Low</v>
      </c>
      <c r="K212" t="str">
        <f>IF(Table1[[#This Row],[price]]&lt;200,"Budget",IF(Table1[[#This Row],[price]]&lt;600,"Mid-Range",IF(Table1[[#This Row],[price]]&lt;1000,"Premium","Luxury")))</f>
        <v>Premium</v>
      </c>
      <c r="L212" t="str">
        <f>IF(Table1[[#This Row],[units_sold]]&lt;50,"Very Low",IF(Table1[[#This Row],[units_sold]]&lt;150,"Low",IF(Table1[[#This Row],[units_sold]]&lt;300,"Medium","High")))</f>
        <v>Medium</v>
      </c>
      <c r="M212" t="str">
        <f t="shared" si="7"/>
        <v>Normal</v>
      </c>
      <c r="N212">
        <f>(Table1[[#This Row],[price]]*0.7)</f>
        <v>673.42099999999994</v>
      </c>
    </row>
    <row r="213" spans="1:14" x14ac:dyDescent="0.35">
      <c r="A213" t="str">
        <f t="shared" si="6"/>
        <v>P212</v>
      </c>
      <c r="B213" t="s">
        <v>17</v>
      </c>
      <c r="C213" t="s">
        <v>7</v>
      </c>
      <c r="D213">
        <v>1140.96</v>
      </c>
      <c r="E213">
        <v>90</v>
      </c>
      <c r="F213">
        <v>2.2000000000000002</v>
      </c>
      <c r="G213" t="b">
        <v>1</v>
      </c>
      <c r="H213">
        <f>(Table1[[#This Row],[price]]*Table1[[#This Row],[units_sold]])</f>
        <v>102686.40000000001</v>
      </c>
      <c r="I213" t="str">
        <f>IF(Table1[[#This Row],[in_stock]]=TRUE,"Available","Out of stock")</f>
        <v>Available</v>
      </c>
      <c r="J213" t="str">
        <f>IF(Table1[[#This Row],[rating]]&gt;=4,"High",IF(Table1[[#This Row],[rating]]&gt;=2.5,"Medium","Low"))</f>
        <v>Low</v>
      </c>
      <c r="K213" t="str">
        <f>IF(Table1[[#This Row],[price]]&lt;200,"Budget",IF(Table1[[#This Row],[price]]&lt;600,"Mid-Range",IF(Table1[[#This Row],[price]]&lt;1000,"Premium","Luxury")))</f>
        <v>Luxury</v>
      </c>
      <c r="L213" t="str">
        <f>IF(Table1[[#This Row],[units_sold]]&lt;50,"Very Low",IF(Table1[[#This Row],[units_sold]]&lt;150,"Low",IF(Table1[[#This Row],[units_sold]]&lt;300,"Medium","High")))</f>
        <v>Low</v>
      </c>
      <c r="M213" t="str">
        <f t="shared" si="7"/>
        <v>Normal</v>
      </c>
      <c r="N213">
        <f>(Table1[[#This Row],[price]]*0.7)</f>
        <v>798.67200000000003</v>
      </c>
    </row>
    <row r="214" spans="1:14" x14ac:dyDescent="0.35">
      <c r="A214" t="str">
        <f t="shared" si="6"/>
        <v>P213</v>
      </c>
      <c r="B214" t="s">
        <v>14</v>
      </c>
      <c r="C214" t="s">
        <v>9</v>
      </c>
      <c r="D214">
        <v>1088.9100000000001</v>
      </c>
      <c r="E214">
        <v>314</v>
      </c>
      <c r="F214">
        <v>2.4</v>
      </c>
      <c r="G214" t="b">
        <v>1</v>
      </c>
      <c r="H214">
        <f>(Table1[[#This Row],[price]]*Table1[[#This Row],[units_sold]])</f>
        <v>341917.74000000005</v>
      </c>
      <c r="I214" t="str">
        <f>IF(Table1[[#This Row],[in_stock]]=TRUE,"Available","Out of stock")</f>
        <v>Available</v>
      </c>
      <c r="J214" t="str">
        <f>IF(Table1[[#This Row],[rating]]&gt;=4,"High",IF(Table1[[#This Row],[rating]]&gt;=2.5,"Medium","Low"))</f>
        <v>Low</v>
      </c>
      <c r="K214" t="str">
        <f>IF(Table1[[#This Row],[price]]&lt;200,"Budget",IF(Table1[[#This Row],[price]]&lt;600,"Mid-Range",IF(Table1[[#This Row],[price]]&lt;1000,"Premium","Luxury")))</f>
        <v>Luxury</v>
      </c>
      <c r="L214" t="str">
        <f>IF(Table1[[#This Row],[units_sold]]&lt;50,"Very Low",IF(Table1[[#This Row],[units_sold]]&lt;150,"Low",IF(Table1[[#This Row],[units_sold]]&lt;300,"Medium","High")))</f>
        <v>High</v>
      </c>
      <c r="M214" t="str">
        <f t="shared" si="7"/>
        <v>Normal</v>
      </c>
      <c r="N214">
        <f>(Table1[[#This Row],[price]]*0.7)</f>
        <v>762.23699999999997</v>
      </c>
    </row>
    <row r="215" spans="1:14" x14ac:dyDescent="0.35">
      <c r="A215" t="str">
        <f t="shared" si="6"/>
        <v>P214</v>
      </c>
      <c r="B215" t="s">
        <v>17</v>
      </c>
      <c r="C215" t="s">
        <v>7</v>
      </c>
      <c r="D215">
        <v>959.48</v>
      </c>
      <c r="E215">
        <v>54</v>
      </c>
      <c r="F215">
        <v>4.2</v>
      </c>
      <c r="G215" t="b">
        <v>1</v>
      </c>
      <c r="H215">
        <f>(Table1[[#This Row],[price]]*Table1[[#This Row],[units_sold]])</f>
        <v>51811.92</v>
      </c>
      <c r="I215" t="str">
        <f>IF(Table1[[#This Row],[in_stock]]=TRUE,"Available","Out of stock")</f>
        <v>Available</v>
      </c>
      <c r="J215" t="str">
        <f>IF(Table1[[#This Row],[rating]]&gt;=4,"High",IF(Table1[[#This Row],[rating]]&gt;=2.5,"Medium","Low"))</f>
        <v>High</v>
      </c>
      <c r="K215" t="str">
        <f>IF(Table1[[#This Row],[price]]&lt;200,"Budget",IF(Table1[[#This Row],[price]]&lt;600,"Mid-Range",IF(Table1[[#This Row],[price]]&lt;1000,"Premium","Luxury")))</f>
        <v>Premium</v>
      </c>
      <c r="L215" t="str">
        <f>IF(Table1[[#This Row],[units_sold]]&lt;50,"Very Low",IF(Table1[[#This Row],[units_sold]]&lt;150,"Low",IF(Table1[[#This Row],[units_sold]]&lt;300,"Medium","High")))</f>
        <v>Low</v>
      </c>
      <c r="M215" t="str">
        <f t="shared" si="7"/>
        <v>Normal</v>
      </c>
      <c r="N215">
        <f>(Table1[[#This Row],[price]]*0.7)</f>
        <v>671.63599999999997</v>
      </c>
    </row>
    <row r="216" spans="1:14" x14ac:dyDescent="0.35">
      <c r="A216" t="str">
        <f t="shared" si="6"/>
        <v>P215</v>
      </c>
      <c r="B216" t="s">
        <v>8</v>
      </c>
      <c r="C216" t="s">
        <v>9</v>
      </c>
      <c r="D216">
        <v>1471.06</v>
      </c>
      <c r="E216">
        <v>12</v>
      </c>
      <c r="F216">
        <v>2.1</v>
      </c>
      <c r="G216" t="b">
        <v>1</v>
      </c>
      <c r="H216">
        <f>(Table1[[#This Row],[price]]*Table1[[#This Row],[units_sold]])</f>
        <v>17652.72</v>
      </c>
      <c r="I216" t="str">
        <f>IF(Table1[[#This Row],[in_stock]]=TRUE,"Available","Out of stock")</f>
        <v>Available</v>
      </c>
      <c r="J216" t="str">
        <f>IF(Table1[[#This Row],[rating]]&gt;=4,"High",IF(Table1[[#This Row],[rating]]&gt;=2.5,"Medium","Low"))</f>
        <v>Low</v>
      </c>
      <c r="K216" t="str">
        <f>IF(Table1[[#This Row],[price]]&lt;200,"Budget",IF(Table1[[#This Row],[price]]&lt;600,"Mid-Range",IF(Table1[[#This Row],[price]]&lt;1000,"Premium","Luxury")))</f>
        <v>Luxury</v>
      </c>
      <c r="L216" t="str">
        <f>IF(Table1[[#This Row],[units_sold]]&lt;50,"Very Low",IF(Table1[[#This Row],[units_sold]]&lt;150,"Low",IF(Table1[[#This Row],[units_sold]]&lt;300,"Medium","High")))</f>
        <v>Very Low</v>
      </c>
      <c r="M216" t="str">
        <f t="shared" si="7"/>
        <v>Normal</v>
      </c>
      <c r="N216">
        <f>(Table1[[#This Row],[price]]*0.7)</f>
        <v>1029.742</v>
      </c>
    </row>
    <row r="217" spans="1:14" x14ac:dyDescent="0.35">
      <c r="A217" t="str">
        <f t="shared" si="6"/>
        <v>P216</v>
      </c>
      <c r="B217" t="s">
        <v>16</v>
      </c>
      <c r="C217" t="s">
        <v>9</v>
      </c>
      <c r="D217">
        <v>1356.01</v>
      </c>
      <c r="E217">
        <v>209</v>
      </c>
      <c r="F217">
        <v>1.8</v>
      </c>
      <c r="G217" t="b">
        <v>0</v>
      </c>
      <c r="H217">
        <f>(Table1[[#This Row],[price]]*Table1[[#This Row],[units_sold]])</f>
        <v>283406.09000000003</v>
      </c>
      <c r="I217" t="str">
        <f>IF(Table1[[#This Row],[in_stock]]=TRUE,"Available","Out of stock")</f>
        <v>Out of stock</v>
      </c>
      <c r="J217" t="str">
        <f>IF(Table1[[#This Row],[rating]]&gt;=4,"High",IF(Table1[[#This Row],[rating]]&gt;=2.5,"Medium","Low"))</f>
        <v>Low</v>
      </c>
      <c r="K217" t="str">
        <f>IF(Table1[[#This Row],[price]]&lt;200,"Budget",IF(Table1[[#This Row],[price]]&lt;600,"Mid-Range",IF(Table1[[#This Row],[price]]&lt;1000,"Premium","Luxury")))</f>
        <v>Luxury</v>
      </c>
      <c r="L217" t="str">
        <f>IF(Table1[[#This Row],[units_sold]]&lt;50,"Very Low",IF(Table1[[#This Row],[units_sold]]&lt;150,"Low",IF(Table1[[#This Row],[units_sold]]&lt;300,"Medium","High")))</f>
        <v>Medium</v>
      </c>
      <c r="M217" t="str">
        <f t="shared" si="7"/>
        <v>Normal</v>
      </c>
      <c r="N217">
        <f>(Table1[[#This Row],[price]]*0.7)</f>
        <v>949.20699999999988</v>
      </c>
    </row>
    <row r="218" spans="1:14" x14ac:dyDescent="0.35">
      <c r="A218" t="str">
        <f t="shared" si="6"/>
        <v>P217</v>
      </c>
      <c r="B218" t="s">
        <v>6</v>
      </c>
      <c r="C218" t="s">
        <v>7</v>
      </c>
      <c r="D218">
        <v>973.53</v>
      </c>
      <c r="E218">
        <v>462</v>
      </c>
      <c r="F218">
        <v>4.8</v>
      </c>
      <c r="G218" t="b">
        <v>1</v>
      </c>
      <c r="H218">
        <f>(Table1[[#This Row],[price]]*Table1[[#This Row],[units_sold]])</f>
        <v>449770.86</v>
      </c>
      <c r="I218" t="str">
        <f>IF(Table1[[#This Row],[in_stock]]=TRUE,"Available","Out of stock")</f>
        <v>Available</v>
      </c>
      <c r="J218" t="str">
        <f>IF(Table1[[#This Row],[rating]]&gt;=4,"High",IF(Table1[[#This Row],[rating]]&gt;=2.5,"Medium","Low"))</f>
        <v>High</v>
      </c>
      <c r="K218" t="str">
        <f>IF(Table1[[#This Row],[price]]&lt;200,"Budget",IF(Table1[[#This Row],[price]]&lt;600,"Mid-Range",IF(Table1[[#This Row],[price]]&lt;1000,"Premium","Luxury")))</f>
        <v>Premium</v>
      </c>
      <c r="L218" t="str">
        <f>IF(Table1[[#This Row],[units_sold]]&lt;50,"Very Low",IF(Table1[[#This Row],[units_sold]]&lt;150,"Low",IF(Table1[[#This Row],[units_sold]]&lt;300,"Medium","High")))</f>
        <v>High</v>
      </c>
      <c r="M218" t="str">
        <f t="shared" si="7"/>
        <v>Normal</v>
      </c>
      <c r="N218">
        <f>(Table1[[#This Row],[price]]*0.7)</f>
        <v>681.47099999999989</v>
      </c>
    </row>
    <row r="219" spans="1:14" x14ac:dyDescent="0.35">
      <c r="A219" t="str">
        <f t="shared" si="6"/>
        <v>P218</v>
      </c>
      <c r="B219" t="s">
        <v>14</v>
      </c>
      <c r="C219" t="s">
        <v>9</v>
      </c>
      <c r="D219">
        <v>1042.83</v>
      </c>
      <c r="E219">
        <v>14</v>
      </c>
      <c r="F219">
        <v>1</v>
      </c>
      <c r="G219" t="b">
        <v>0</v>
      </c>
      <c r="H219">
        <f>(Table1[[#This Row],[price]]*Table1[[#This Row],[units_sold]])</f>
        <v>14599.619999999999</v>
      </c>
      <c r="I219" t="str">
        <f>IF(Table1[[#This Row],[in_stock]]=TRUE,"Available","Out of stock")</f>
        <v>Out of stock</v>
      </c>
      <c r="J219" t="str">
        <f>IF(Table1[[#This Row],[rating]]&gt;=4,"High",IF(Table1[[#This Row],[rating]]&gt;=2.5,"Medium","Low"))</f>
        <v>Low</v>
      </c>
      <c r="K219" t="str">
        <f>IF(Table1[[#This Row],[price]]&lt;200,"Budget",IF(Table1[[#This Row],[price]]&lt;600,"Mid-Range",IF(Table1[[#This Row],[price]]&lt;1000,"Premium","Luxury")))</f>
        <v>Luxury</v>
      </c>
      <c r="L219" t="str">
        <f>IF(Table1[[#This Row],[units_sold]]&lt;50,"Very Low",IF(Table1[[#This Row],[units_sold]]&lt;150,"Low",IF(Table1[[#This Row],[units_sold]]&lt;300,"Medium","High")))</f>
        <v>Very Low</v>
      </c>
      <c r="M219" t="str">
        <f t="shared" si="7"/>
        <v>Normal</v>
      </c>
      <c r="N219">
        <f>(Table1[[#This Row],[price]]*0.7)</f>
        <v>729.98099999999988</v>
      </c>
    </row>
    <row r="220" spans="1:14" x14ac:dyDescent="0.35">
      <c r="A220" t="str">
        <f t="shared" si="6"/>
        <v>P219</v>
      </c>
      <c r="B220" t="s">
        <v>11</v>
      </c>
      <c r="C220" t="s">
        <v>9</v>
      </c>
      <c r="D220">
        <v>86.88</v>
      </c>
      <c r="E220">
        <v>121</v>
      </c>
      <c r="F220">
        <v>5</v>
      </c>
      <c r="G220" t="b">
        <v>1</v>
      </c>
      <c r="H220">
        <f>(Table1[[#This Row],[price]]*Table1[[#This Row],[units_sold]])</f>
        <v>10512.48</v>
      </c>
      <c r="I220" t="str">
        <f>IF(Table1[[#This Row],[in_stock]]=TRUE,"Available","Out of stock")</f>
        <v>Available</v>
      </c>
      <c r="J220" t="str">
        <f>IF(Table1[[#This Row],[rating]]&gt;=4,"High",IF(Table1[[#This Row],[rating]]&gt;=2.5,"Medium","Low"))</f>
        <v>High</v>
      </c>
      <c r="K220" t="str">
        <f>IF(Table1[[#This Row],[price]]&lt;200,"Budget",IF(Table1[[#This Row],[price]]&lt;600,"Mid-Range",IF(Table1[[#This Row],[price]]&lt;1000,"Premium","Luxury")))</f>
        <v>Budget</v>
      </c>
      <c r="L220" t="str">
        <f>IF(Table1[[#This Row],[units_sold]]&lt;50,"Very Low",IF(Table1[[#This Row],[units_sold]]&lt;150,"Low",IF(Table1[[#This Row],[units_sold]]&lt;300,"Medium","High")))</f>
        <v>Low</v>
      </c>
      <c r="M220" t="str">
        <f t="shared" si="7"/>
        <v>Normal</v>
      </c>
      <c r="N220">
        <f>(Table1[[#This Row],[price]]*0.7)</f>
        <v>60.815999999999995</v>
      </c>
    </row>
    <row r="221" spans="1:14" x14ac:dyDescent="0.35">
      <c r="A221" t="str">
        <f t="shared" si="6"/>
        <v>P220</v>
      </c>
      <c r="B221" t="s">
        <v>6</v>
      </c>
      <c r="C221" t="s">
        <v>7</v>
      </c>
      <c r="D221">
        <v>1008.18</v>
      </c>
      <c r="E221">
        <v>418</v>
      </c>
      <c r="F221">
        <v>3.7</v>
      </c>
      <c r="G221" t="b">
        <v>1</v>
      </c>
      <c r="H221">
        <f>(Table1[[#This Row],[price]]*Table1[[#This Row],[units_sold]])</f>
        <v>421419.24</v>
      </c>
      <c r="I221" t="str">
        <f>IF(Table1[[#This Row],[in_stock]]=TRUE,"Available","Out of stock")</f>
        <v>Available</v>
      </c>
      <c r="J221" t="str">
        <f>IF(Table1[[#This Row],[rating]]&gt;=4,"High",IF(Table1[[#This Row],[rating]]&gt;=2.5,"Medium","Low"))</f>
        <v>Medium</v>
      </c>
      <c r="K221" t="str">
        <f>IF(Table1[[#This Row],[price]]&lt;200,"Budget",IF(Table1[[#This Row],[price]]&lt;600,"Mid-Range",IF(Table1[[#This Row],[price]]&lt;1000,"Premium","Luxury")))</f>
        <v>Luxury</v>
      </c>
      <c r="L221" t="str">
        <f>IF(Table1[[#This Row],[units_sold]]&lt;50,"Very Low",IF(Table1[[#This Row],[units_sold]]&lt;150,"Low",IF(Table1[[#This Row],[units_sold]]&lt;300,"Medium","High")))</f>
        <v>High</v>
      </c>
      <c r="M221" t="str">
        <f t="shared" si="7"/>
        <v>Normal</v>
      </c>
      <c r="N221">
        <f>(Table1[[#This Row],[price]]*0.7)</f>
        <v>705.72599999999989</v>
      </c>
    </row>
    <row r="222" spans="1:14" x14ac:dyDescent="0.35">
      <c r="A222" t="str">
        <f t="shared" si="6"/>
        <v>P221</v>
      </c>
      <c r="B222" t="s">
        <v>16</v>
      </c>
      <c r="C222" t="s">
        <v>9</v>
      </c>
      <c r="D222">
        <v>75.81</v>
      </c>
      <c r="E222">
        <v>437</v>
      </c>
      <c r="F222">
        <v>4.3</v>
      </c>
      <c r="G222" t="b">
        <v>1</v>
      </c>
      <c r="H222">
        <f>(Table1[[#This Row],[price]]*Table1[[#This Row],[units_sold]])</f>
        <v>33128.97</v>
      </c>
      <c r="I222" t="str">
        <f>IF(Table1[[#This Row],[in_stock]]=TRUE,"Available","Out of stock")</f>
        <v>Available</v>
      </c>
      <c r="J222" t="str">
        <f>IF(Table1[[#This Row],[rating]]&gt;=4,"High",IF(Table1[[#This Row],[rating]]&gt;=2.5,"Medium","Low"))</f>
        <v>High</v>
      </c>
      <c r="K222" t="str">
        <f>IF(Table1[[#This Row],[price]]&lt;200,"Budget",IF(Table1[[#This Row],[price]]&lt;600,"Mid-Range",IF(Table1[[#This Row],[price]]&lt;1000,"Premium","Luxury")))</f>
        <v>Budget</v>
      </c>
      <c r="L222" t="str">
        <f>IF(Table1[[#This Row],[units_sold]]&lt;50,"Very Low",IF(Table1[[#This Row],[units_sold]]&lt;150,"Low",IF(Table1[[#This Row],[units_sold]]&lt;300,"Medium","High")))</f>
        <v>High</v>
      </c>
      <c r="M222" t="str">
        <f t="shared" si="7"/>
        <v>Normal</v>
      </c>
      <c r="N222">
        <f>(Table1[[#This Row],[price]]*0.7)</f>
        <v>53.067</v>
      </c>
    </row>
    <row r="223" spans="1:14" x14ac:dyDescent="0.35">
      <c r="A223" t="str">
        <f t="shared" si="6"/>
        <v>P222</v>
      </c>
      <c r="B223" t="s">
        <v>8</v>
      </c>
      <c r="C223" t="s">
        <v>9</v>
      </c>
      <c r="D223">
        <v>886.51</v>
      </c>
      <c r="E223">
        <v>377</v>
      </c>
      <c r="F223">
        <v>2.2000000000000002</v>
      </c>
      <c r="G223" t="b">
        <v>1</v>
      </c>
      <c r="H223">
        <f>(Table1[[#This Row],[price]]*Table1[[#This Row],[units_sold]])</f>
        <v>334214.27</v>
      </c>
      <c r="I223" t="str">
        <f>IF(Table1[[#This Row],[in_stock]]=TRUE,"Available","Out of stock")</f>
        <v>Available</v>
      </c>
      <c r="J223" t="str">
        <f>IF(Table1[[#This Row],[rating]]&gt;=4,"High",IF(Table1[[#This Row],[rating]]&gt;=2.5,"Medium","Low"))</f>
        <v>Low</v>
      </c>
      <c r="K223" t="str">
        <f>IF(Table1[[#This Row],[price]]&lt;200,"Budget",IF(Table1[[#This Row],[price]]&lt;600,"Mid-Range",IF(Table1[[#This Row],[price]]&lt;1000,"Premium","Luxury")))</f>
        <v>Premium</v>
      </c>
      <c r="L223" t="str">
        <f>IF(Table1[[#This Row],[units_sold]]&lt;50,"Very Low",IF(Table1[[#This Row],[units_sold]]&lt;150,"Low",IF(Table1[[#This Row],[units_sold]]&lt;300,"Medium","High")))</f>
        <v>High</v>
      </c>
      <c r="M223" t="str">
        <f t="shared" si="7"/>
        <v>Normal</v>
      </c>
      <c r="N223">
        <f>(Table1[[#This Row],[price]]*0.7)</f>
        <v>620.5569999999999</v>
      </c>
    </row>
    <row r="224" spans="1:14" x14ac:dyDescent="0.35">
      <c r="A224" t="str">
        <f t="shared" si="6"/>
        <v>P223</v>
      </c>
      <c r="B224" t="s">
        <v>8</v>
      </c>
      <c r="C224" t="s">
        <v>9</v>
      </c>
      <c r="D224">
        <v>1499.04</v>
      </c>
      <c r="E224">
        <v>20</v>
      </c>
      <c r="F224">
        <v>1.1000000000000001</v>
      </c>
      <c r="G224" t="b">
        <v>1</v>
      </c>
      <c r="H224">
        <f>(Table1[[#This Row],[price]]*Table1[[#This Row],[units_sold]])</f>
        <v>29980.799999999999</v>
      </c>
      <c r="I224" t="str">
        <f>IF(Table1[[#This Row],[in_stock]]=TRUE,"Available","Out of stock")</f>
        <v>Available</v>
      </c>
      <c r="J224" t="str">
        <f>IF(Table1[[#This Row],[rating]]&gt;=4,"High",IF(Table1[[#This Row],[rating]]&gt;=2.5,"Medium","Low"))</f>
        <v>Low</v>
      </c>
      <c r="K224" t="str">
        <f>IF(Table1[[#This Row],[price]]&lt;200,"Budget",IF(Table1[[#This Row],[price]]&lt;600,"Mid-Range",IF(Table1[[#This Row],[price]]&lt;1000,"Premium","Luxury")))</f>
        <v>Luxury</v>
      </c>
      <c r="L224" t="str">
        <f>IF(Table1[[#This Row],[units_sold]]&lt;50,"Very Low",IF(Table1[[#This Row],[units_sold]]&lt;150,"Low",IF(Table1[[#This Row],[units_sold]]&lt;300,"Medium","High")))</f>
        <v>Very Low</v>
      </c>
      <c r="M224" t="str">
        <f t="shared" si="7"/>
        <v>Normal</v>
      </c>
      <c r="N224">
        <f>(Table1[[#This Row],[price]]*0.7)</f>
        <v>1049.328</v>
      </c>
    </row>
    <row r="225" spans="1:14" x14ac:dyDescent="0.35">
      <c r="A225" t="str">
        <f t="shared" si="6"/>
        <v>P224</v>
      </c>
      <c r="B225" t="s">
        <v>11</v>
      </c>
      <c r="C225" t="s">
        <v>9</v>
      </c>
      <c r="D225">
        <v>838.15</v>
      </c>
      <c r="E225">
        <v>75</v>
      </c>
      <c r="F225">
        <v>4</v>
      </c>
      <c r="G225" t="b">
        <v>1</v>
      </c>
      <c r="H225">
        <f>(Table1[[#This Row],[price]]*Table1[[#This Row],[units_sold]])</f>
        <v>62861.25</v>
      </c>
      <c r="I225" t="str">
        <f>IF(Table1[[#This Row],[in_stock]]=TRUE,"Available","Out of stock")</f>
        <v>Available</v>
      </c>
      <c r="J225" t="str">
        <f>IF(Table1[[#This Row],[rating]]&gt;=4,"High",IF(Table1[[#This Row],[rating]]&gt;=2.5,"Medium","Low"))</f>
        <v>High</v>
      </c>
      <c r="K225" t="str">
        <f>IF(Table1[[#This Row],[price]]&lt;200,"Budget",IF(Table1[[#This Row],[price]]&lt;600,"Mid-Range",IF(Table1[[#This Row],[price]]&lt;1000,"Premium","Luxury")))</f>
        <v>Premium</v>
      </c>
      <c r="L225" t="str">
        <f>IF(Table1[[#This Row],[units_sold]]&lt;50,"Very Low",IF(Table1[[#This Row],[units_sold]]&lt;150,"Low",IF(Table1[[#This Row],[units_sold]]&lt;300,"Medium","High")))</f>
        <v>Low</v>
      </c>
      <c r="M225" t="str">
        <f t="shared" si="7"/>
        <v>Normal</v>
      </c>
      <c r="N225">
        <f>(Table1[[#This Row],[price]]*0.7)</f>
        <v>586.70499999999993</v>
      </c>
    </row>
    <row r="226" spans="1:14" x14ac:dyDescent="0.35">
      <c r="A226" t="str">
        <f t="shared" si="6"/>
        <v>P225</v>
      </c>
      <c r="B226" t="s">
        <v>14</v>
      </c>
      <c r="C226" t="s">
        <v>9</v>
      </c>
      <c r="D226">
        <v>715.08</v>
      </c>
      <c r="E226">
        <v>400</v>
      </c>
      <c r="F226">
        <v>4.3</v>
      </c>
      <c r="G226" t="b">
        <v>1</v>
      </c>
      <c r="H226">
        <f>(Table1[[#This Row],[price]]*Table1[[#This Row],[units_sold]])</f>
        <v>286032</v>
      </c>
      <c r="I226" t="str">
        <f>IF(Table1[[#This Row],[in_stock]]=TRUE,"Available","Out of stock")</f>
        <v>Available</v>
      </c>
      <c r="J226" t="str">
        <f>IF(Table1[[#This Row],[rating]]&gt;=4,"High",IF(Table1[[#This Row],[rating]]&gt;=2.5,"Medium","Low"))</f>
        <v>High</v>
      </c>
      <c r="K226" t="str">
        <f>IF(Table1[[#This Row],[price]]&lt;200,"Budget",IF(Table1[[#This Row],[price]]&lt;600,"Mid-Range",IF(Table1[[#This Row],[price]]&lt;1000,"Premium","Luxury")))</f>
        <v>Premium</v>
      </c>
      <c r="L226" t="str">
        <f>IF(Table1[[#This Row],[units_sold]]&lt;50,"Very Low",IF(Table1[[#This Row],[units_sold]]&lt;150,"Low",IF(Table1[[#This Row],[units_sold]]&lt;300,"Medium","High")))</f>
        <v>High</v>
      </c>
      <c r="M226" t="str">
        <f t="shared" si="7"/>
        <v>Normal</v>
      </c>
      <c r="N226">
        <f>(Table1[[#This Row],[price]]*0.7)</f>
        <v>500.55599999999998</v>
      </c>
    </row>
    <row r="227" spans="1:14" x14ac:dyDescent="0.35">
      <c r="A227" t="str">
        <f t="shared" si="6"/>
        <v>P226</v>
      </c>
      <c r="B227" t="s">
        <v>10</v>
      </c>
      <c r="C227" t="s">
        <v>9</v>
      </c>
      <c r="D227">
        <v>476.15</v>
      </c>
      <c r="E227">
        <v>243</v>
      </c>
      <c r="F227">
        <v>4</v>
      </c>
      <c r="G227" t="b">
        <v>1</v>
      </c>
      <c r="H227">
        <f>(Table1[[#This Row],[price]]*Table1[[#This Row],[units_sold]])</f>
        <v>115704.45</v>
      </c>
      <c r="I227" t="str">
        <f>IF(Table1[[#This Row],[in_stock]]=TRUE,"Available","Out of stock")</f>
        <v>Available</v>
      </c>
      <c r="J227" t="str">
        <f>IF(Table1[[#This Row],[rating]]&gt;=4,"High",IF(Table1[[#This Row],[rating]]&gt;=2.5,"Medium","Low"))</f>
        <v>High</v>
      </c>
      <c r="K227" t="str">
        <f>IF(Table1[[#This Row],[price]]&lt;200,"Budget",IF(Table1[[#This Row],[price]]&lt;600,"Mid-Range",IF(Table1[[#This Row],[price]]&lt;1000,"Premium","Luxury")))</f>
        <v>Mid-Range</v>
      </c>
      <c r="L227" t="str">
        <f>IF(Table1[[#This Row],[units_sold]]&lt;50,"Very Low",IF(Table1[[#This Row],[units_sold]]&lt;150,"Low",IF(Table1[[#This Row],[units_sold]]&lt;300,"Medium","High")))</f>
        <v>Medium</v>
      </c>
      <c r="M227" t="str">
        <f t="shared" si="7"/>
        <v>Normal</v>
      </c>
      <c r="N227">
        <f>(Table1[[#This Row],[price]]*0.7)</f>
        <v>333.30499999999995</v>
      </c>
    </row>
    <row r="228" spans="1:14" x14ac:dyDescent="0.35">
      <c r="A228" t="str">
        <f t="shared" si="6"/>
        <v>P227</v>
      </c>
      <c r="B228" t="s">
        <v>13</v>
      </c>
      <c r="C228" t="s">
        <v>9</v>
      </c>
      <c r="D228">
        <v>189.58</v>
      </c>
      <c r="E228">
        <v>223</v>
      </c>
      <c r="F228">
        <v>1.6</v>
      </c>
      <c r="G228" t="b">
        <v>1</v>
      </c>
      <c r="H228">
        <f>(Table1[[#This Row],[price]]*Table1[[#This Row],[units_sold]])</f>
        <v>42276.340000000004</v>
      </c>
      <c r="I228" t="str">
        <f>IF(Table1[[#This Row],[in_stock]]=TRUE,"Available","Out of stock")</f>
        <v>Available</v>
      </c>
      <c r="J228" t="str">
        <f>IF(Table1[[#This Row],[rating]]&gt;=4,"High",IF(Table1[[#This Row],[rating]]&gt;=2.5,"Medium","Low"))</f>
        <v>Low</v>
      </c>
      <c r="K228" t="str">
        <f>IF(Table1[[#This Row],[price]]&lt;200,"Budget",IF(Table1[[#This Row],[price]]&lt;600,"Mid-Range",IF(Table1[[#This Row],[price]]&lt;1000,"Premium","Luxury")))</f>
        <v>Budget</v>
      </c>
      <c r="L228" t="str">
        <f>IF(Table1[[#This Row],[units_sold]]&lt;50,"Very Low",IF(Table1[[#This Row],[units_sold]]&lt;150,"Low",IF(Table1[[#This Row],[units_sold]]&lt;300,"Medium","High")))</f>
        <v>Medium</v>
      </c>
      <c r="M228" t="str">
        <f t="shared" si="7"/>
        <v>Normal</v>
      </c>
      <c r="N228">
        <f>(Table1[[#This Row],[price]]*0.7)</f>
        <v>132.70599999999999</v>
      </c>
    </row>
    <row r="229" spans="1:14" x14ac:dyDescent="0.35">
      <c r="A229" t="str">
        <f t="shared" si="6"/>
        <v>P228</v>
      </c>
      <c r="B229" t="s">
        <v>14</v>
      </c>
      <c r="C229" t="s">
        <v>9</v>
      </c>
      <c r="D229">
        <v>1099.23</v>
      </c>
      <c r="E229">
        <v>70</v>
      </c>
      <c r="F229">
        <v>4</v>
      </c>
      <c r="G229" t="b">
        <v>1</v>
      </c>
      <c r="H229">
        <f>(Table1[[#This Row],[price]]*Table1[[#This Row],[units_sold]])</f>
        <v>76946.100000000006</v>
      </c>
      <c r="I229" t="str">
        <f>IF(Table1[[#This Row],[in_stock]]=TRUE,"Available","Out of stock")</f>
        <v>Available</v>
      </c>
      <c r="J229" t="str">
        <f>IF(Table1[[#This Row],[rating]]&gt;=4,"High",IF(Table1[[#This Row],[rating]]&gt;=2.5,"Medium","Low"))</f>
        <v>High</v>
      </c>
      <c r="K229" t="str">
        <f>IF(Table1[[#This Row],[price]]&lt;200,"Budget",IF(Table1[[#This Row],[price]]&lt;600,"Mid-Range",IF(Table1[[#This Row],[price]]&lt;1000,"Premium","Luxury")))</f>
        <v>Luxury</v>
      </c>
      <c r="L229" t="str">
        <f>IF(Table1[[#This Row],[units_sold]]&lt;50,"Very Low",IF(Table1[[#This Row],[units_sold]]&lt;150,"Low",IF(Table1[[#This Row],[units_sold]]&lt;300,"Medium","High")))</f>
        <v>Low</v>
      </c>
      <c r="M229" t="str">
        <f t="shared" si="7"/>
        <v>Normal</v>
      </c>
      <c r="N229">
        <f>(Table1[[#This Row],[price]]*0.7)</f>
        <v>769.46100000000001</v>
      </c>
    </row>
    <row r="230" spans="1:14" x14ac:dyDescent="0.35">
      <c r="A230" t="str">
        <f t="shared" si="6"/>
        <v>P229</v>
      </c>
      <c r="B230" t="s">
        <v>10</v>
      </c>
      <c r="C230" t="s">
        <v>9</v>
      </c>
      <c r="D230">
        <v>296.97000000000003</v>
      </c>
      <c r="E230">
        <v>312</v>
      </c>
      <c r="F230">
        <v>4.0999999999999996</v>
      </c>
      <c r="G230" t="b">
        <v>1</v>
      </c>
      <c r="H230">
        <f>(Table1[[#This Row],[price]]*Table1[[#This Row],[units_sold]])</f>
        <v>92654.640000000014</v>
      </c>
      <c r="I230" t="str">
        <f>IF(Table1[[#This Row],[in_stock]]=TRUE,"Available","Out of stock")</f>
        <v>Available</v>
      </c>
      <c r="J230" t="str">
        <f>IF(Table1[[#This Row],[rating]]&gt;=4,"High",IF(Table1[[#This Row],[rating]]&gt;=2.5,"Medium","Low"))</f>
        <v>High</v>
      </c>
      <c r="K230" t="str">
        <f>IF(Table1[[#This Row],[price]]&lt;200,"Budget",IF(Table1[[#This Row],[price]]&lt;600,"Mid-Range",IF(Table1[[#This Row],[price]]&lt;1000,"Premium","Luxury")))</f>
        <v>Mid-Range</v>
      </c>
      <c r="L230" t="str">
        <f>IF(Table1[[#This Row],[units_sold]]&lt;50,"Very Low",IF(Table1[[#This Row],[units_sold]]&lt;150,"Low",IF(Table1[[#This Row],[units_sold]]&lt;300,"Medium","High")))</f>
        <v>High</v>
      </c>
      <c r="M230" t="str">
        <f t="shared" si="7"/>
        <v>Normal</v>
      </c>
      <c r="N230">
        <f>(Table1[[#This Row],[price]]*0.7)</f>
        <v>207.87900000000002</v>
      </c>
    </row>
    <row r="231" spans="1:14" x14ac:dyDescent="0.35">
      <c r="A231" t="str">
        <f t="shared" si="6"/>
        <v>P230</v>
      </c>
      <c r="B231" t="s">
        <v>8</v>
      </c>
      <c r="C231" t="s">
        <v>9</v>
      </c>
      <c r="D231">
        <v>181.77</v>
      </c>
      <c r="E231">
        <v>211</v>
      </c>
      <c r="F231">
        <v>3.6</v>
      </c>
      <c r="G231" t="b">
        <v>1</v>
      </c>
      <c r="H231">
        <f>(Table1[[#This Row],[price]]*Table1[[#This Row],[units_sold]])</f>
        <v>38353.47</v>
      </c>
      <c r="I231" t="str">
        <f>IF(Table1[[#This Row],[in_stock]]=TRUE,"Available","Out of stock")</f>
        <v>Available</v>
      </c>
      <c r="J231" t="str">
        <f>IF(Table1[[#This Row],[rating]]&gt;=4,"High",IF(Table1[[#This Row],[rating]]&gt;=2.5,"Medium","Low"))</f>
        <v>Medium</v>
      </c>
      <c r="K231" t="str">
        <f>IF(Table1[[#This Row],[price]]&lt;200,"Budget",IF(Table1[[#This Row],[price]]&lt;600,"Mid-Range",IF(Table1[[#This Row],[price]]&lt;1000,"Premium","Luxury")))</f>
        <v>Budget</v>
      </c>
      <c r="L231" t="str">
        <f>IF(Table1[[#This Row],[units_sold]]&lt;50,"Very Low",IF(Table1[[#This Row],[units_sold]]&lt;150,"Low",IF(Table1[[#This Row],[units_sold]]&lt;300,"Medium","High")))</f>
        <v>Medium</v>
      </c>
      <c r="M231" t="str">
        <f t="shared" si="7"/>
        <v>Normal</v>
      </c>
      <c r="N231">
        <f>(Table1[[#This Row],[price]]*0.7)</f>
        <v>127.239</v>
      </c>
    </row>
    <row r="232" spans="1:14" x14ac:dyDescent="0.35">
      <c r="A232" t="str">
        <f t="shared" si="6"/>
        <v>P231</v>
      </c>
      <c r="B232" t="s">
        <v>17</v>
      </c>
      <c r="C232" t="s">
        <v>7</v>
      </c>
      <c r="D232">
        <v>638.42999999999995</v>
      </c>
      <c r="E232">
        <v>101</v>
      </c>
      <c r="F232">
        <v>4.0999999999999996</v>
      </c>
      <c r="G232" t="b">
        <v>0</v>
      </c>
      <c r="H232">
        <f>(Table1[[#This Row],[price]]*Table1[[#This Row],[units_sold]])</f>
        <v>64481.429999999993</v>
      </c>
      <c r="I232" t="str">
        <f>IF(Table1[[#This Row],[in_stock]]=TRUE,"Available","Out of stock")</f>
        <v>Out of stock</v>
      </c>
      <c r="J232" t="str">
        <f>IF(Table1[[#This Row],[rating]]&gt;=4,"High",IF(Table1[[#This Row],[rating]]&gt;=2.5,"Medium","Low"))</f>
        <v>High</v>
      </c>
      <c r="K232" t="str">
        <f>IF(Table1[[#This Row],[price]]&lt;200,"Budget",IF(Table1[[#This Row],[price]]&lt;600,"Mid-Range",IF(Table1[[#This Row],[price]]&lt;1000,"Premium","Luxury")))</f>
        <v>Premium</v>
      </c>
      <c r="L232" t="str">
        <f>IF(Table1[[#This Row],[units_sold]]&lt;50,"Very Low",IF(Table1[[#This Row],[units_sold]]&lt;150,"Low",IF(Table1[[#This Row],[units_sold]]&lt;300,"Medium","High")))</f>
        <v>Low</v>
      </c>
      <c r="M232" t="str">
        <f t="shared" si="7"/>
        <v>Normal</v>
      </c>
      <c r="N232">
        <f>(Table1[[#This Row],[price]]*0.7)</f>
        <v>446.90099999999995</v>
      </c>
    </row>
    <row r="233" spans="1:14" x14ac:dyDescent="0.35">
      <c r="A233" t="str">
        <f t="shared" si="6"/>
        <v>P232</v>
      </c>
      <c r="B233" t="s">
        <v>16</v>
      </c>
      <c r="C233" t="s">
        <v>9</v>
      </c>
      <c r="D233">
        <v>1195.06</v>
      </c>
      <c r="E233">
        <v>186</v>
      </c>
      <c r="F233">
        <v>4.4000000000000004</v>
      </c>
      <c r="G233" t="b">
        <v>1</v>
      </c>
      <c r="H233">
        <f>(Table1[[#This Row],[price]]*Table1[[#This Row],[units_sold]])</f>
        <v>222281.16</v>
      </c>
      <c r="I233" t="str">
        <f>IF(Table1[[#This Row],[in_stock]]=TRUE,"Available","Out of stock")</f>
        <v>Available</v>
      </c>
      <c r="J233" t="str">
        <f>IF(Table1[[#This Row],[rating]]&gt;=4,"High",IF(Table1[[#This Row],[rating]]&gt;=2.5,"Medium","Low"))</f>
        <v>High</v>
      </c>
      <c r="K233" t="str">
        <f>IF(Table1[[#This Row],[price]]&lt;200,"Budget",IF(Table1[[#This Row],[price]]&lt;600,"Mid-Range",IF(Table1[[#This Row],[price]]&lt;1000,"Premium","Luxury")))</f>
        <v>Luxury</v>
      </c>
      <c r="L233" t="str">
        <f>IF(Table1[[#This Row],[units_sold]]&lt;50,"Very Low",IF(Table1[[#This Row],[units_sold]]&lt;150,"Low",IF(Table1[[#This Row],[units_sold]]&lt;300,"Medium","High")))</f>
        <v>Medium</v>
      </c>
      <c r="M233" t="str">
        <f t="shared" si="7"/>
        <v>Normal</v>
      </c>
      <c r="N233">
        <f>(Table1[[#This Row],[price]]*0.7)</f>
        <v>836.54199999999992</v>
      </c>
    </row>
    <row r="234" spans="1:14" x14ac:dyDescent="0.35">
      <c r="A234" t="str">
        <f t="shared" si="6"/>
        <v>P233</v>
      </c>
      <c r="B234" t="s">
        <v>11</v>
      </c>
      <c r="C234" t="s">
        <v>9</v>
      </c>
      <c r="D234">
        <v>1120.1500000000001</v>
      </c>
      <c r="E234">
        <v>132</v>
      </c>
      <c r="F234">
        <v>3.5</v>
      </c>
      <c r="G234" t="b">
        <v>1</v>
      </c>
      <c r="H234">
        <f>(Table1[[#This Row],[price]]*Table1[[#This Row],[units_sold]])</f>
        <v>147859.80000000002</v>
      </c>
      <c r="I234" t="str">
        <f>IF(Table1[[#This Row],[in_stock]]=TRUE,"Available","Out of stock")</f>
        <v>Available</v>
      </c>
      <c r="J234" t="str">
        <f>IF(Table1[[#This Row],[rating]]&gt;=4,"High",IF(Table1[[#This Row],[rating]]&gt;=2.5,"Medium","Low"))</f>
        <v>Medium</v>
      </c>
      <c r="K234" t="str">
        <f>IF(Table1[[#This Row],[price]]&lt;200,"Budget",IF(Table1[[#This Row],[price]]&lt;600,"Mid-Range",IF(Table1[[#This Row],[price]]&lt;1000,"Premium","Luxury")))</f>
        <v>Luxury</v>
      </c>
      <c r="L234" t="str">
        <f>IF(Table1[[#This Row],[units_sold]]&lt;50,"Very Low",IF(Table1[[#This Row],[units_sold]]&lt;150,"Low",IF(Table1[[#This Row],[units_sold]]&lt;300,"Medium","High")))</f>
        <v>Low</v>
      </c>
      <c r="M234" t="str">
        <f t="shared" si="7"/>
        <v>Normal</v>
      </c>
      <c r="N234">
        <f>(Table1[[#This Row],[price]]*0.7)</f>
        <v>784.10500000000002</v>
      </c>
    </row>
    <row r="235" spans="1:14" x14ac:dyDescent="0.35">
      <c r="A235" t="str">
        <f t="shared" si="6"/>
        <v>P234</v>
      </c>
      <c r="B235" t="s">
        <v>16</v>
      </c>
      <c r="C235" t="s">
        <v>9</v>
      </c>
      <c r="D235">
        <v>91.78</v>
      </c>
      <c r="E235">
        <v>111</v>
      </c>
      <c r="F235">
        <v>1.4</v>
      </c>
      <c r="G235" t="b">
        <v>0</v>
      </c>
      <c r="H235">
        <f>(Table1[[#This Row],[price]]*Table1[[#This Row],[units_sold]])</f>
        <v>10187.58</v>
      </c>
      <c r="I235" t="str">
        <f>IF(Table1[[#This Row],[in_stock]]=TRUE,"Available","Out of stock")</f>
        <v>Out of stock</v>
      </c>
      <c r="J235" t="str">
        <f>IF(Table1[[#This Row],[rating]]&gt;=4,"High",IF(Table1[[#This Row],[rating]]&gt;=2.5,"Medium","Low"))</f>
        <v>Low</v>
      </c>
      <c r="K235" t="str">
        <f>IF(Table1[[#This Row],[price]]&lt;200,"Budget",IF(Table1[[#This Row],[price]]&lt;600,"Mid-Range",IF(Table1[[#This Row],[price]]&lt;1000,"Premium","Luxury")))</f>
        <v>Budget</v>
      </c>
      <c r="L235" t="str">
        <f>IF(Table1[[#This Row],[units_sold]]&lt;50,"Very Low",IF(Table1[[#This Row],[units_sold]]&lt;150,"Low",IF(Table1[[#This Row],[units_sold]]&lt;300,"Medium","High")))</f>
        <v>Low</v>
      </c>
      <c r="M235" t="str">
        <f t="shared" si="7"/>
        <v>Normal</v>
      </c>
      <c r="N235">
        <f>(Table1[[#This Row],[price]]*0.7)</f>
        <v>64.245999999999995</v>
      </c>
    </row>
    <row r="236" spans="1:14" x14ac:dyDescent="0.35">
      <c r="A236" t="str">
        <f t="shared" si="6"/>
        <v>P235</v>
      </c>
      <c r="B236" t="s">
        <v>12</v>
      </c>
      <c r="C236" t="s">
        <v>7</v>
      </c>
      <c r="D236">
        <v>688.16</v>
      </c>
      <c r="E236">
        <v>381</v>
      </c>
      <c r="F236">
        <v>3</v>
      </c>
      <c r="G236" t="b">
        <v>1</v>
      </c>
      <c r="H236">
        <f>(Table1[[#This Row],[price]]*Table1[[#This Row],[units_sold]])</f>
        <v>262188.95999999996</v>
      </c>
      <c r="I236" t="str">
        <f>IF(Table1[[#This Row],[in_stock]]=TRUE,"Available","Out of stock")</f>
        <v>Available</v>
      </c>
      <c r="J236" t="str">
        <f>IF(Table1[[#This Row],[rating]]&gt;=4,"High",IF(Table1[[#This Row],[rating]]&gt;=2.5,"Medium","Low"))</f>
        <v>Medium</v>
      </c>
      <c r="K236" t="str">
        <f>IF(Table1[[#This Row],[price]]&lt;200,"Budget",IF(Table1[[#This Row],[price]]&lt;600,"Mid-Range",IF(Table1[[#This Row],[price]]&lt;1000,"Premium","Luxury")))</f>
        <v>Premium</v>
      </c>
      <c r="L236" t="str">
        <f>IF(Table1[[#This Row],[units_sold]]&lt;50,"Very Low",IF(Table1[[#This Row],[units_sold]]&lt;150,"Low",IF(Table1[[#This Row],[units_sold]]&lt;300,"Medium","High")))</f>
        <v>High</v>
      </c>
      <c r="M236" t="str">
        <f t="shared" si="7"/>
        <v>Normal</v>
      </c>
      <c r="N236">
        <f>(Table1[[#This Row],[price]]*0.7)</f>
        <v>481.71199999999993</v>
      </c>
    </row>
    <row r="237" spans="1:14" x14ac:dyDescent="0.35">
      <c r="A237" t="str">
        <f t="shared" si="6"/>
        <v>P236</v>
      </c>
      <c r="B237" t="s">
        <v>12</v>
      </c>
      <c r="C237" t="s">
        <v>7</v>
      </c>
      <c r="D237">
        <v>788.43</v>
      </c>
      <c r="E237">
        <v>132</v>
      </c>
      <c r="F237">
        <v>1.3</v>
      </c>
      <c r="G237" t="b">
        <v>1</v>
      </c>
      <c r="H237">
        <f>(Table1[[#This Row],[price]]*Table1[[#This Row],[units_sold]])</f>
        <v>104072.76</v>
      </c>
      <c r="I237" t="str">
        <f>IF(Table1[[#This Row],[in_stock]]=TRUE,"Available","Out of stock")</f>
        <v>Available</v>
      </c>
      <c r="J237" t="str">
        <f>IF(Table1[[#This Row],[rating]]&gt;=4,"High",IF(Table1[[#This Row],[rating]]&gt;=2.5,"Medium","Low"))</f>
        <v>Low</v>
      </c>
      <c r="K237" t="str">
        <f>IF(Table1[[#This Row],[price]]&lt;200,"Budget",IF(Table1[[#This Row],[price]]&lt;600,"Mid-Range",IF(Table1[[#This Row],[price]]&lt;1000,"Premium","Luxury")))</f>
        <v>Premium</v>
      </c>
      <c r="L237" t="str">
        <f>IF(Table1[[#This Row],[units_sold]]&lt;50,"Very Low",IF(Table1[[#This Row],[units_sold]]&lt;150,"Low",IF(Table1[[#This Row],[units_sold]]&lt;300,"Medium","High")))</f>
        <v>Low</v>
      </c>
      <c r="M237" t="str">
        <f t="shared" si="7"/>
        <v>Normal</v>
      </c>
      <c r="N237">
        <f>(Table1[[#This Row],[price]]*0.7)</f>
        <v>551.90099999999995</v>
      </c>
    </row>
    <row r="238" spans="1:14" x14ac:dyDescent="0.35">
      <c r="A238" t="str">
        <f t="shared" si="6"/>
        <v>P237</v>
      </c>
      <c r="B238" t="s">
        <v>14</v>
      </c>
      <c r="C238" t="s">
        <v>9</v>
      </c>
      <c r="D238">
        <v>970.37</v>
      </c>
      <c r="E238">
        <v>20</v>
      </c>
      <c r="F238">
        <v>2.6</v>
      </c>
      <c r="G238" t="b">
        <v>1</v>
      </c>
      <c r="H238">
        <f>(Table1[[#This Row],[price]]*Table1[[#This Row],[units_sold]])</f>
        <v>19407.400000000001</v>
      </c>
      <c r="I238" t="str">
        <f>IF(Table1[[#This Row],[in_stock]]=TRUE,"Available","Out of stock")</f>
        <v>Available</v>
      </c>
      <c r="J238" t="str">
        <f>IF(Table1[[#This Row],[rating]]&gt;=4,"High",IF(Table1[[#This Row],[rating]]&gt;=2.5,"Medium","Low"))</f>
        <v>Medium</v>
      </c>
      <c r="K238" t="str">
        <f>IF(Table1[[#This Row],[price]]&lt;200,"Budget",IF(Table1[[#This Row],[price]]&lt;600,"Mid-Range",IF(Table1[[#This Row],[price]]&lt;1000,"Premium","Luxury")))</f>
        <v>Premium</v>
      </c>
      <c r="L238" t="str">
        <f>IF(Table1[[#This Row],[units_sold]]&lt;50,"Very Low",IF(Table1[[#This Row],[units_sold]]&lt;150,"Low",IF(Table1[[#This Row],[units_sold]]&lt;300,"Medium","High")))</f>
        <v>Very Low</v>
      </c>
      <c r="M238" t="str">
        <f t="shared" si="7"/>
        <v>Normal</v>
      </c>
      <c r="N238">
        <f>(Table1[[#This Row],[price]]*0.7)</f>
        <v>679.25900000000001</v>
      </c>
    </row>
    <row r="239" spans="1:14" x14ac:dyDescent="0.35">
      <c r="A239" t="str">
        <f t="shared" si="6"/>
        <v>P238</v>
      </c>
      <c r="B239" t="s">
        <v>8</v>
      </c>
      <c r="C239" t="s">
        <v>9</v>
      </c>
      <c r="D239">
        <v>978.75</v>
      </c>
      <c r="E239">
        <v>394</v>
      </c>
      <c r="F239">
        <v>2.6</v>
      </c>
      <c r="G239" t="b">
        <v>1</v>
      </c>
      <c r="H239">
        <f>(Table1[[#This Row],[price]]*Table1[[#This Row],[units_sold]])</f>
        <v>385627.5</v>
      </c>
      <c r="I239" t="str">
        <f>IF(Table1[[#This Row],[in_stock]]=TRUE,"Available","Out of stock")</f>
        <v>Available</v>
      </c>
      <c r="J239" t="str">
        <f>IF(Table1[[#This Row],[rating]]&gt;=4,"High",IF(Table1[[#This Row],[rating]]&gt;=2.5,"Medium","Low"))</f>
        <v>Medium</v>
      </c>
      <c r="K239" t="str">
        <f>IF(Table1[[#This Row],[price]]&lt;200,"Budget",IF(Table1[[#This Row],[price]]&lt;600,"Mid-Range",IF(Table1[[#This Row],[price]]&lt;1000,"Premium","Luxury")))</f>
        <v>Premium</v>
      </c>
      <c r="L239" t="str">
        <f>IF(Table1[[#This Row],[units_sold]]&lt;50,"Very Low",IF(Table1[[#This Row],[units_sold]]&lt;150,"Low",IF(Table1[[#This Row],[units_sold]]&lt;300,"Medium","High")))</f>
        <v>High</v>
      </c>
      <c r="M239" t="str">
        <f t="shared" si="7"/>
        <v>Normal</v>
      </c>
      <c r="N239">
        <f>(Table1[[#This Row],[price]]*0.7)</f>
        <v>685.125</v>
      </c>
    </row>
    <row r="240" spans="1:14" x14ac:dyDescent="0.35">
      <c r="A240" t="str">
        <f t="shared" si="6"/>
        <v>P239</v>
      </c>
      <c r="B240" t="s">
        <v>8</v>
      </c>
      <c r="C240" t="s">
        <v>9</v>
      </c>
      <c r="D240">
        <v>553.4</v>
      </c>
      <c r="E240">
        <v>24</v>
      </c>
      <c r="F240">
        <v>1.3</v>
      </c>
      <c r="G240" t="b">
        <v>1</v>
      </c>
      <c r="H240">
        <f>(Table1[[#This Row],[price]]*Table1[[#This Row],[units_sold]])</f>
        <v>13281.599999999999</v>
      </c>
      <c r="I240" t="str">
        <f>IF(Table1[[#This Row],[in_stock]]=TRUE,"Available","Out of stock")</f>
        <v>Available</v>
      </c>
      <c r="J240" t="str">
        <f>IF(Table1[[#This Row],[rating]]&gt;=4,"High",IF(Table1[[#This Row],[rating]]&gt;=2.5,"Medium","Low"))</f>
        <v>Low</v>
      </c>
      <c r="K240" t="str">
        <f>IF(Table1[[#This Row],[price]]&lt;200,"Budget",IF(Table1[[#This Row],[price]]&lt;600,"Mid-Range",IF(Table1[[#This Row],[price]]&lt;1000,"Premium","Luxury")))</f>
        <v>Mid-Range</v>
      </c>
      <c r="L240" t="str">
        <f>IF(Table1[[#This Row],[units_sold]]&lt;50,"Very Low",IF(Table1[[#This Row],[units_sold]]&lt;150,"Low",IF(Table1[[#This Row],[units_sold]]&lt;300,"Medium","High")))</f>
        <v>Very Low</v>
      </c>
      <c r="M240" t="str">
        <f t="shared" si="7"/>
        <v>Normal</v>
      </c>
      <c r="N240">
        <f>(Table1[[#This Row],[price]]*0.7)</f>
        <v>387.37999999999994</v>
      </c>
    </row>
    <row r="241" spans="1:14" x14ac:dyDescent="0.35">
      <c r="A241" t="str">
        <f t="shared" si="6"/>
        <v>P240</v>
      </c>
      <c r="B241" t="s">
        <v>13</v>
      </c>
      <c r="C241" t="s">
        <v>9</v>
      </c>
      <c r="D241">
        <v>845.41</v>
      </c>
      <c r="E241">
        <v>227</v>
      </c>
      <c r="F241">
        <v>2.4</v>
      </c>
      <c r="G241" t="b">
        <v>0</v>
      </c>
      <c r="H241">
        <f>(Table1[[#This Row],[price]]*Table1[[#This Row],[units_sold]])</f>
        <v>191908.07</v>
      </c>
      <c r="I241" t="str">
        <f>IF(Table1[[#This Row],[in_stock]]=TRUE,"Available","Out of stock")</f>
        <v>Out of stock</v>
      </c>
      <c r="J241" t="str">
        <f>IF(Table1[[#This Row],[rating]]&gt;=4,"High",IF(Table1[[#This Row],[rating]]&gt;=2.5,"Medium","Low"))</f>
        <v>Low</v>
      </c>
      <c r="K241" t="str">
        <f>IF(Table1[[#This Row],[price]]&lt;200,"Budget",IF(Table1[[#This Row],[price]]&lt;600,"Mid-Range",IF(Table1[[#This Row],[price]]&lt;1000,"Premium","Luxury")))</f>
        <v>Premium</v>
      </c>
      <c r="L241" t="str">
        <f>IF(Table1[[#This Row],[units_sold]]&lt;50,"Very Low",IF(Table1[[#This Row],[units_sold]]&lt;150,"Low",IF(Table1[[#This Row],[units_sold]]&lt;300,"Medium","High")))</f>
        <v>Medium</v>
      </c>
      <c r="M241" t="str">
        <f t="shared" si="7"/>
        <v>Normal</v>
      </c>
      <c r="N241">
        <f>(Table1[[#This Row],[price]]*0.7)</f>
        <v>591.78699999999992</v>
      </c>
    </row>
    <row r="242" spans="1:14" x14ac:dyDescent="0.35">
      <c r="A242" t="str">
        <f t="shared" si="6"/>
        <v>P241</v>
      </c>
      <c r="B242" t="s">
        <v>13</v>
      </c>
      <c r="C242" t="s">
        <v>9</v>
      </c>
      <c r="D242">
        <v>726.78</v>
      </c>
      <c r="E242">
        <v>154</v>
      </c>
      <c r="F242">
        <v>1.4</v>
      </c>
      <c r="G242" t="b">
        <v>1</v>
      </c>
      <c r="H242">
        <f>(Table1[[#This Row],[price]]*Table1[[#This Row],[units_sold]])</f>
        <v>111924.12</v>
      </c>
      <c r="I242" t="str">
        <f>IF(Table1[[#This Row],[in_stock]]=TRUE,"Available","Out of stock")</f>
        <v>Available</v>
      </c>
      <c r="J242" t="str">
        <f>IF(Table1[[#This Row],[rating]]&gt;=4,"High",IF(Table1[[#This Row],[rating]]&gt;=2.5,"Medium","Low"))</f>
        <v>Low</v>
      </c>
      <c r="K242" t="str">
        <f>IF(Table1[[#This Row],[price]]&lt;200,"Budget",IF(Table1[[#This Row],[price]]&lt;600,"Mid-Range",IF(Table1[[#This Row],[price]]&lt;1000,"Premium","Luxury")))</f>
        <v>Premium</v>
      </c>
      <c r="L242" t="str">
        <f>IF(Table1[[#This Row],[units_sold]]&lt;50,"Very Low",IF(Table1[[#This Row],[units_sold]]&lt;150,"Low",IF(Table1[[#This Row],[units_sold]]&lt;300,"Medium","High")))</f>
        <v>Medium</v>
      </c>
      <c r="M242" t="str">
        <f t="shared" si="7"/>
        <v>Normal</v>
      </c>
      <c r="N242">
        <f>(Table1[[#This Row],[price]]*0.7)</f>
        <v>508.74599999999992</v>
      </c>
    </row>
    <row r="243" spans="1:14" x14ac:dyDescent="0.35">
      <c r="A243" t="str">
        <f t="shared" si="6"/>
        <v>P242</v>
      </c>
      <c r="B243" t="s">
        <v>13</v>
      </c>
      <c r="C243" t="s">
        <v>9</v>
      </c>
      <c r="D243">
        <v>1328.65</v>
      </c>
      <c r="E243">
        <v>293</v>
      </c>
      <c r="F243">
        <v>4.2</v>
      </c>
      <c r="G243" t="b">
        <v>1</v>
      </c>
      <c r="H243">
        <f>(Table1[[#This Row],[price]]*Table1[[#This Row],[units_sold]])</f>
        <v>389294.45</v>
      </c>
      <c r="I243" t="str">
        <f>IF(Table1[[#This Row],[in_stock]]=TRUE,"Available","Out of stock")</f>
        <v>Available</v>
      </c>
      <c r="J243" t="str">
        <f>IF(Table1[[#This Row],[rating]]&gt;=4,"High",IF(Table1[[#This Row],[rating]]&gt;=2.5,"Medium","Low"))</f>
        <v>High</v>
      </c>
      <c r="K243" t="str">
        <f>IF(Table1[[#This Row],[price]]&lt;200,"Budget",IF(Table1[[#This Row],[price]]&lt;600,"Mid-Range",IF(Table1[[#This Row],[price]]&lt;1000,"Premium","Luxury")))</f>
        <v>Luxury</v>
      </c>
      <c r="L243" t="str">
        <f>IF(Table1[[#This Row],[units_sold]]&lt;50,"Very Low",IF(Table1[[#This Row],[units_sold]]&lt;150,"Low",IF(Table1[[#This Row],[units_sold]]&lt;300,"Medium","High")))</f>
        <v>Medium</v>
      </c>
      <c r="M243" t="str">
        <f t="shared" si="7"/>
        <v>Normal</v>
      </c>
      <c r="N243">
        <f>(Table1[[#This Row],[price]]*0.7)</f>
        <v>930.05499999999995</v>
      </c>
    </row>
    <row r="244" spans="1:14" x14ac:dyDescent="0.35">
      <c r="A244" t="str">
        <f t="shared" si="6"/>
        <v>P243</v>
      </c>
      <c r="B244" t="s">
        <v>17</v>
      </c>
      <c r="C244" t="s">
        <v>7</v>
      </c>
      <c r="D244">
        <v>800.1</v>
      </c>
      <c r="E244">
        <v>230</v>
      </c>
      <c r="F244">
        <v>4.8</v>
      </c>
      <c r="G244" t="b">
        <v>1</v>
      </c>
      <c r="H244">
        <f>(Table1[[#This Row],[price]]*Table1[[#This Row],[units_sold]])</f>
        <v>184023</v>
      </c>
      <c r="I244" t="str">
        <f>IF(Table1[[#This Row],[in_stock]]=TRUE,"Available","Out of stock")</f>
        <v>Available</v>
      </c>
      <c r="J244" t="str">
        <f>IF(Table1[[#This Row],[rating]]&gt;=4,"High",IF(Table1[[#This Row],[rating]]&gt;=2.5,"Medium","Low"))</f>
        <v>High</v>
      </c>
      <c r="K244" t="str">
        <f>IF(Table1[[#This Row],[price]]&lt;200,"Budget",IF(Table1[[#This Row],[price]]&lt;600,"Mid-Range",IF(Table1[[#This Row],[price]]&lt;1000,"Premium","Luxury")))</f>
        <v>Premium</v>
      </c>
      <c r="L244" t="str">
        <f>IF(Table1[[#This Row],[units_sold]]&lt;50,"Very Low",IF(Table1[[#This Row],[units_sold]]&lt;150,"Low",IF(Table1[[#This Row],[units_sold]]&lt;300,"Medium","High")))</f>
        <v>Medium</v>
      </c>
      <c r="M244" t="str">
        <f t="shared" si="7"/>
        <v>Normal</v>
      </c>
      <c r="N244">
        <f>(Table1[[#This Row],[price]]*0.7)</f>
        <v>560.06999999999994</v>
      </c>
    </row>
    <row r="245" spans="1:14" x14ac:dyDescent="0.35">
      <c r="A245" t="str">
        <f t="shared" si="6"/>
        <v>P244</v>
      </c>
      <c r="B245" t="s">
        <v>6</v>
      </c>
      <c r="C245" t="s">
        <v>7</v>
      </c>
      <c r="D245">
        <v>667.14</v>
      </c>
      <c r="E245">
        <v>469</v>
      </c>
      <c r="F245">
        <v>1.3</v>
      </c>
      <c r="G245" t="b">
        <v>1</v>
      </c>
      <c r="H245">
        <f>(Table1[[#This Row],[price]]*Table1[[#This Row],[units_sold]])</f>
        <v>312888.65999999997</v>
      </c>
      <c r="I245" t="str">
        <f>IF(Table1[[#This Row],[in_stock]]=TRUE,"Available","Out of stock")</f>
        <v>Available</v>
      </c>
      <c r="J245" t="str">
        <f>IF(Table1[[#This Row],[rating]]&gt;=4,"High",IF(Table1[[#This Row],[rating]]&gt;=2.5,"Medium","Low"))</f>
        <v>Low</v>
      </c>
      <c r="K245" t="str">
        <f>IF(Table1[[#This Row],[price]]&lt;200,"Budget",IF(Table1[[#This Row],[price]]&lt;600,"Mid-Range",IF(Table1[[#This Row],[price]]&lt;1000,"Premium","Luxury")))</f>
        <v>Premium</v>
      </c>
      <c r="L245" t="str">
        <f>IF(Table1[[#This Row],[units_sold]]&lt;50,"Very Low",IF(Table1[[#This Row],[units_sold]]&lt;150,"Low",IF(Table1[[#This Row],[units_sold]]&lt;300,"Medium","High")))</f>
        <v>High</v>
      </c>
      <c r="M245" t="str">
        <f t="shared" si="7"/>
        <v>Normal</v>
      </c>
      <c r="N245">
        <f>(Table1[[#This Row],[price]]*0.7)</f>
        <v>466.99799999999993</v>
      </c>
    </row>
    <row r="246" spans="1:14" x14ac:dyDescent="0.35">
      <c r="A246" t="str">
        <f t="shared" si="6"/>
        <v>P245</v>
      </c>
      <c r="B246" t="s">
        <v>15</v>
      </c>
      <c r="C246" t="s">
        <v>7</v>
      </c>
      <c r="D246">
        <v>612.67999999999995</v>
      </c>
      <c r="E246">
        <v>310</v>
      </c>
      <c r="F246">
        <v>4.8</v>
      </c>
      <c r="G246" t="b">
        <v>1</v>
      </c>
      <c r="H246">
        <f>(Table1[[#This Row],[price]]*Table1[[#This Row],[units_sold]])</f>
        <v>189930.8</v>
      </c>
      <c r="I246" t="str">
        <f>IF(Table1[[#This Row],[in_stock]]=TRUE,"Available","Out of stock")</f>
        <v>Available</v>
      </c>
      <c r="J246" t="str">
        <f>IF(Table1[[#This Row],[rating]]&gt;=4,"High",IF(Table1[[#This Row],[rating]]&gt;=2.5,"Medium","Low"))</f>
        <v>High</v>
      </c>
      <c r="K246" t="str">
        <f>IF(Table1[[#This Row],[price]]&lt;200,"Budget",IF(Table1[[#This Row],[price]]&lt;600,"Mid-Range",IF(Table1[[#This Row],[price]]&lt;1000,"Premium","Luxury")))</f>
        <v>Premium</v>
      </c>
      <c r="L246" t="str">
        <f>IF(Table1[[#This Row],[units_sold]]&lt;50,"Very Low",IF(Table1[[#This Row],[units_sold]]&lt;150,"Low",IF(Table1[[#This Row],[units_sold]]&lt;300,"Medium","High")))</f>
        <v>High</v>
      </c>
      <c r="M246" t="str">
        <f t="shared" si="7"/>
        <v>Normal</v>
      </c>
      <c r="N246">
        <f>(Table1[[#This Row],[price]]*0.7)</f>
        <v>428.87599999999992</v>
      </c>
    </row>
    <row r="247" spans="1:14" x14ac:dyDescent="0.35">
      <c r="A247" t="str">
        <f t="shared" si="6"/>
        <v>P246</v>
      </c>
      <c r="B247" t="s">
        <v>6</v>
      </c>
      <c r="C247" t="s">
        <v>7</v>
      </c>
      <c r="D247">
        <v>862.92</v>
      </c>
      <c r="E247">
        <v>488</v>
      </c>
      <c r="F247">
        <v>3.1</v>
      </c>
      <c r="G247" t="b">
        <v>1</v>
      </c>
      <c r="H247">
        <f>(Table1[[#This Row],[price]]*Table1[[#This Row],[units_sold]])</f>
        <v>421104.95999999996</v>
      </c>
      <c r="I247" t="str">
        <f>IF(Table1[[#This Row],[in_stock]]=TRUE,"Available","Out of stock")</f>
        <v>Available</v>
      </c>
      <c r="J247" t="str">
        <f>IF(Table1[[#This Row],[rating]]&gt;=4,"High",IF(Table1[[#This Row],[rating]]&gt;=2.5,"Medium","Low"))</f>
        <v>Medium</v>
      </c>
      <c r="K247" t="str">
        <f>IF(Table1[[#This Row],[price]]&lt;200,"Budget",IF(Table1[[#This Row],[price]]&lt;600,"Mid-Range",IF(Table1[[#This Row],[price]]&lt;1000,"Premium","Luxury")))</f>
        <v>Premium</v>
      </c>
      <c r="L247" t="str">
        <f>IF(Table1[[#This Row],[units_sold]]&lt;50,"Very Low",IF(Table1[[#This Row],[units_sold]]&lt;150,"Low",IF(Table1[[#This Row],[units_sold]]&lt;300,"Medium","High")))</f>
        <v>High</v>
      </c>
      <c r="M247" t="str">
        <f t="shared" si="7"/>
        <v>Normal</v>
      </c>
      <c r="N247">
        <f>(Table1[[#This Row],[price]]*0.7)</f>
        <v>604.04399999999998</v>
      </c>
    </row>
    <row r="248" spans="1:14" x14ac:dyDescent="0.35">
      <c r="A248" t="str">
        <f t="shared" si="6"/>
        <v>P247</v>
      </c>
      <c r="B248" t="s">
        <v>16</v>
      </c>
      <c r="C248" t="s">
        <v>9</v>
      </c>
      <c r="D248">
        <v>1207.93</v>
      </c>
      <c r="E248">
        <v>359</v>
      </c>
      <c r="F248">
        <v>2.2000000000000002</v>
      </c>
      <c r="G248" t="b">
        <v>1</v>
      </c>
      <c r="H248">
        <f>(Table1[[#This Row],[price]]*Table1[[#This Row],[units_sold]])</f>
        <v>433646.87</v>
      </c>
      <c r="I248" t="str">
        <f>IF(Table1[[#This Row],[in_stock]]=TRUE,"Available","Out of stock")</f>
        <v>Available</v>
      </c>
      <c r="J248" t="str">
        <f>IF(Table1[[#This Row],[rating]]&gt;=4,"High",IF(Table1[[#This Row],[rating]]&gt;=2.5,"Medium","Low"))</f>
        <v>Low</v>
      </c>
      <c r="K248" t="str">
        <f>IF(Table1[[#This Row],[price]]&lt;200,"Budget",IF(Table1[[#This Row],[price]]&lt;600,"Mid-Range",IF(Table1[[#This Row],[price]]&lt;1000,"Premium","Luxury")))</f>
        <v>Luxury</v>
      </c>
      <c r="L248" t="str">
        <f>IF(Table1[[#This Row],[units_sold]]&lt;50,"Very Low",IF(Table1[[#This Row],[units_sold]]&lt;150,"Low",IF(Table1[[#This Row],[units_sold]]&lt;300,"Medium","High")))</f>
        <v>High</v>
      </c>
      <c r="M248" t="str">
        <f t="shared" si="7"/>
        <v>Normal</v>
      </c>
      <c r="N248">
        <f>(Table1[[#This Row],[price]]*0.7)</f>
        <v>845.55100000000004</v>
      </c>
    </row>
    <row r="249" spans="1:14" x14ac:dyDescent="0.35">
      <c r="A249" t="str">
        <f t="shared" si="6"/>
        <v>P248</v>
      </c>
      <c r="B249" t="s">
        <v>6</v>
      </c>
      <c r="C249" t="s">
        <v>7</v>
      </c>
      <c r="D249">
        <v>812.22</v>
      </c>
      <c r="E249">
        <v>405</v>
      </c>
      <c r="F249">
        <v>1.3</v>
      </c>
      <c r="G249" t="b">
        <v>1</v>
      </c>
      <c r="H249">
        <f>(Table1[[#This Row],[price]]*Table1[[#This Row],[units_sold]])</f>
        <v>328949.10000000003</v>
      </c>
      <c r="I249" t="str">
        <f>IF(Table1[[#This Row],[in_stock]]=TRUE,"Available","Out of stock")</f>
        <v>Available</v>
      </c>
      <c r="J249" t="str">
        <f>IF(Table1[[#This Row],[rating]]&gt;=4,"High",IF(Table1[[#This Row],[rating]]&gt;=2.5,"Medium","Low"))</f>
        <v>Low</v>
      </c>
      <c r="K249" t="str">
        <f>IF(Table1[[#This Row],[price]]&lt;200,"Budget",IF(Table1[[#This Row],[price]]&lt;600,"Mid-Range",IF(Table1[[#This Row],[price]]&lt;1000,"Premium","Luxury")))</f>
        <v>Premium</v>
      </c>
      <c r="L249" t="str">
        <f>IF(Table1[[#This Row],[units_sold]]&lt;50,"Very Low",IF(Table1[[#This Row],[units_sold]]&lt;150,"Low",IF(Table1[[#This Row],[units_sold]]&lt;300,"Medium","High")))</f>
        <v>High</v>
      </c>
      <c r="M249" t="str">
        <f t="shared" si="7"/>
        <v>Normal</v>
      </c>
      <c r="N249">
        <f>(Table1[[#This Row],[price]]*0.7)</f>
        <v>568.55399999999997</v>
      </c>
    </row>
    <row r="250" spans="1:14" x14ac:dyDescent="0.35">
      <c r="A250" t="str">
        <f t="shared" si="6"/>
        <v>P249</v>
      </c>
      <c r="B250" t="s">
        <v>17</v>
      </c>
      <c r="C250" t="s">
        <v>7</v>
      </c>
      <c r="D250">
        <v>995.87</v>
      </c>
      <c r="E250">
        <v>202</v>
      </c>
      <c r="F250">
        <v>3</v>
      </c>
      <c r="G250" t="b">
        <v>1</v>
      </c>
      <c r="H250">
        <f>(Table1[[#This Row],[price]]*Table1[[#This Row],[units_sold]])</f>
        <v>201165.74</v>
      </c>
      <c r="I250" t="str">
        <f>IF(Table1[[#This Row],[in_stock]]=TRUE,"Available","Out of stock")</f>
        <v>Available</v>
      </c>
      <c r="J250" t="str">
        <f>IF(Table1[[#This Row],[rating]]&gt;=4,"High",IF(Table1[[#This Row],[rating]]&gt;=2.5,"Medium","Low"))</f>
        <v>Medium</v>
      </c>
      <c r="K250" t="str">
        <f>IF(Table1[[#This Row],[price]]&lt;200,"Budget",IF(Table1[[#This Row],[price]]&lt;600,"Mid-Range",IF(Table1[[#This Row],[price]]&lt;1000,"Premium","Luxury")))</f>
        <v>Premium</v>
      </c>
      <c r="L250" t="str">
        <f>IF(Table1[[#This Row],[units_sold]]&lt;50,"Very Low",IF(Table1[[#This Row],[units_sold]]&lt;150,"Low",IF(Table1[[#This Row],[units_sold]]&lt;300,"Medium","High")))</f>
        <v>Medium</v>
      </c>
      <c r="M250" t="str">
        <f t="shared" si="7"/>
        <v>Normal</v>
      </c>
      <c r="N250">
        <f>(Table1[[#This Row],[price]]*0.7)</f>
        <v>697.10899999999992</v>
      </c>
    </row>
    <row r="251" spans="1:14" x14ac:dyDescent="0.35">
      <c r="A251" t="str">
        <f t="shared" si="6"/>
        <v>P250</v>
      </c>
      <c r="B251" t="s">
        <v>16</v>
      </c>
      <c r="C251" t="s">
        <v>9</v>
      </c>
      <c r="D251">
        <v>1109.4100000000001</v>
      </c>
      <c r="E251">
        <v>38</v>
      </c>
      <c r="F251">
        <v>4.2</v>
      </c>
      <c r="G251" t="b">
        <v>1</v>
      </c>
      <c r="H251">
        <f>(Table1[[#This Row],[price]]*Table1[[#This Row],[units_sold]])</f>
        <v>42157.58</v>
      </c>
      <c r="I251" t="str">
        <f>IF(Table1[[#This Row],[in_stock]]=TRUE,"Available","Out of stock")</f>
        <v>Available</v>
      </c>
      <c r="J251" t="str">
        <f>IF(Table1[[#This Row],[rating]]&gt;=4,"High",IF(Table1[[#This Row],[rating]]&gt;=2.5,"Medium","Low"))</f>
        <v>High</v>
      </c>
      <c r="K251" t="str">
        <f>IF(Table1[[#This Row],[price]]&lt;200,"Budget",IF(Table1[[#This Row],[price]]&lt;600,"Mid-Range",IF(Table1[[#This Row],[price]]&lt;1000,"Premium","Luxury")))</f>
        <v>Luxury</v>
      </c>
      <c r="L251" t="str">
        <f>IF(Table1[[#This Row],[units_sold]]&lt;50,"Very Low",IF(Table1[[#This Row],[units_sold]]&lt;150,"Low",IF(Table1[[#This Row],[units_sold]]&lt;300,"Medium","High")))</f>
        <v>Very Low</v>
      </c>
      <c r="M251" t="str">
        <f t="shared" si="7"/>
        <v>Normal</v>
      </c>
      <c r="N251">
        <f>(Table1[[#This Row],[price]]*0.7)</f>
        <v>776.58699999999999</v>
      </c>
    </row>
    <row r="252" spans="1:14" x14ac:dyDescent="0.35">
      <c r="A252" t="str">
        <f t="shared" si="6"/>
        <v>P251</v>
      </c>
      <c r="B252" t="s">
        <v>6</v>
      </c>
      <c r="C252" t="s">
        <v>7</v>
      </c>
      <c r="D252">
        <v>785.05</v>
      </c>
      <c r="E252">
        <v>430</v>
      </c>
      <c r="F252">
        <v>3.8</v>
      </c>
      <c r="G252" t="b">
        <v>0</v>
      </c>
      <c r="H252">
        <f>(Table1[[#This Row],[price]]*Table1[[#This Row],[units_sold]])</f>
        <v>337571.5</v>
      </c>
      <c r="I252" t="str">
        <f>IF(Table1[[#This Row],[in_stock]]=TRUE,"Available","Out of stock")</f>
        <v>Out of stock</v>
      </c>
      <c r="J252" t="str">
        <f>IF(Table1[[#This Row],[rating]]&gt;=4,"High",IF(Table1[[#This Row],[rating]]&gt;=2.5,"Medium","Low"))</f>
        <v>Medium</v>
      </c>
      <c r="K252" t="str">
        <f>IF(Table1[[#This Row],[price]]&lt;200,"Budget",IF(Table1[[#This Row],[price]]&lt;600,"Mid-Range",IF(Table1[[#This Row],[price]]&lt;1000,"Premium","Luxury")))</f>
        <v>Premium</v>
      </c>
      <c r="L252" t="str">
        <f>IF(Table1[[#This Row],[units_sold]]&lt;50,"Very Low",IF(Table1[[#This Row],[units_sold]]&lt;150,"Low",IF(Table1[[#This Row],[units_sold]]&lt;300,"Medium","High")))</f>
        <v>High</v>
      </c>
      <c r="M252" t="str">
        <f t="shared" si="7"/>
        <v>High Demand - Out of Stock</v>
      </c>
      <c r="N252">
        <f>(Table1[[#This Row],[price]]*0.7)</f>
        <v>549.53499999999997</v>
      </c>
    </row>
    <row r="253" spans="1:14" x14ac:dyDescent="0.35">
      <c r="A253" t="str">
        <f t="shared" si="6"/>
        <v>P252</v>
      </c>
      <c r="B253" t="s">
        <v>17</v>
      </c>
      <c r="C253" t="s">
        <v>7</v>
      </c>
      <c r="D253">
        <v>645.96</v>
      </c>
      <c r="E253">
        <v>260</v>
      </c>
      <c r="F253">
        <v>1.2</v>
      </c>
      <c r="G253" t="b">
        <v>1</v>
      </c>
      <c r="H253">
        <f>(Table1[[#This Row],[price]]*Table1[[#This Row],[units_sold]])</f>
        <v>167949.6</v>
      </c>
      <c r="I253" t="str">
        <f>IF(Table1[[#This Row],[in_stock]]=TRUE,"Available","Out of stock")</f>
        <v>Available</v>
      </c>
      <c r="J253" t="str">
        <f>IF(Table1[[#This Row],[rating]]&gt;=4,"High",IF(Table1[[#This Row],[rating]]&gt;=2.5,"Medium","Low"))</f>
        <v>Low</v>
      </c>
      <c r="K253" t="str">
        <f>IF(Table1[[#This Row],[price]]&lt;200,"Budget",IF(Table1[[#This Row],[price]]&lt;600,"Mid-Range",IF(Table1[[#This Row],[price]]&lt;1000,"Premium","Luxury")))</f>
        <v>Premium</v>
      </c>
      <c r="L253" t="str">
        <f>IF(Table1[[#This Row],[units_sold]]&lt;50,"Very Low",IF(Table1[[#This Row],[units_sold]]&lt;150,"Low",IF(Table1[[#This Row],[units_sold]]&lt;300,"Medium","High")))</f>
        <v>Medium</v>
      </c>
      <c r="M253" t="str">
        <f t="shared" si="7"/>
        <v>Normal</v>
      </c>
      <c r="N253">
        <f>(Table1[[#This Row],[price]]*0.7)</f>
        <v>452.17199999999997</v>
      </c>
    </row>
    <row r="254" spans="1:14" x14ac:dyDescent="0.35">
      <c r="A254" t="str">
        <f t="shared" si="6"/>
        <v>P253</v>
      </c>
      <c r="B254" t="s">
        <v>15</v>
      </c>
      <c r="C254" t="s">
        <v>7</v>
      </c>
      <c r="D254">
        <v>1316.23</v>
      </c>
      <c r="E254">
        <v>188</v>
      </c>
      <c r="F254">
        <v>1.3</v>
      </c>
      <c r="G254" t="b">
        <v>1</v>
      </c>
      <c r="H254">
        <f>(Table1[[#This Row],[price]]*Table1[[#This Row],[units_sold]])</f>
        <v>247451.24</v>
      </c>
      <c r="I254" t="str">
        <f>IF(Table1[[#This Row],[in_stock]]=TRUE,"Available","Out of stock")</f>
        <v>Available</v>
      </c>
      <c r="J254" t="str">
        <f>IF(Table1[[#This Row],[rating]]&gt;=4,"High",IF(Table1[[#This Row],[rating]]&gt;=2.5,"Medium","Low"))</f>
        <v>Low</v>
      </c>
      <c r="K254" t="str">
        <f>IF(Table1[[#This Row],[price]]&lt;200,"Budget",IF(Table1[[#This Row],[price]]&lt;600,"Mid-Range",IF(Table1[[#This Row],[price]]&lt;1000,"Premium","Luxury")))</f>
        <v>Luxury</v>
      </c>
      <c r="L254" t="str">
        <f>IF(Table1[[#This Row],[units_sold]]&lt;50,"Very Low",IF(Table1[[#This Row],[units_sold]]&lt;150,"Low",IF(Table1[[#This Row],[units_sold]]&lt;300,"Medium","High")))</f>
        <v>Medium</v>
      </c>
      <c r="M254" t="str">
        <f t="shared" si="7"/>
        <v>Normal</v>
      </c>
      <c r="N254">
        <f>(Table1[[#This Row],[price]]*0.7)</f>
        <v>921.36099999999999</v>
      </c>
    </row>
    <row r="255" spans="1:14" x14ac:dyDescent="0.35">
      <c r="A255" t="str">
        <f t="shared" si="6"/>
        <v>P254</v>
      </c>
      <c r="B255" t="s">
        <v>6</v>
      </c>
      <c r="C255" t="s">
        <v>7</v>
      </c>
      <c r="D255">
        <v>632.08000000000004</v>
      </c>
      <c r="E255">
        <v>57</v>
      </c>
      <c r="F255">
        <v>2.6</v>
      </c>
      <c r="G255" t="b">
        <v>1</v>
      </c>
      <c r="H255">
        <f>(Table1[[#This Row],[price]]*Table1[[#This Row],[units_sold]])</f>
        <v>36028.560000000005</v>
      </c>
      <c r="I255" t="str">
        <f>IF(Table1[[#This Row],[in_stock]]=TRUE,"Available","Out of stock")</f>
        <v>Available</v>
      </c>
      <c r="J255" t="str">
        <f>IF(Table1[[#This Row],[rating]]&gt;=4,"High",IF(Table1[[#This Row],[rating]]&gt;=2.5,"Medium","Low"))</f>
        <v>Medium</v>
      </c>
      <c r="K255" t="str">
        <f>IF(Table1[[#This Row],[price]]&lt;200,"Budget",IF(Table1[[#This Row],[price]]&lt;600,"Mid-Range",IF(Table1[[#This Row],[price]]&lt;1000,"Premium","Luxury")))</f>
        <v>Premium</v>
      </c>
      <c r="L255" t="str">
        <f>IF(Table1[[#This Row],[units_sold]]&lt;50,"Very Low",IF(Table1[[#This Row],[units_sold]]&lt;150,"Low",IF(Table1[[#This Row],[units_sold]]&lt;300,"Medium","High")))</f>
        <v>Low</v>
      </c>
      <c r="M255" t="str">
        <f t="shared" si="7"/>
        <v>Normal</v>
      </c>
      <c r="N255">
        <f>(Table1[[#This Row],[price]]*0.7)</f>
        <v>442.45600000000002</v>
      </c>
    </row>
    <row r="256" spans="1:14" x14ac:dyDescent="0.35">
      <c r="A256" t="str">
        <f t="shared" si="6"/>
        <v>P255</v>
      </c>
      <c r="B256" t="s">
        <v>17</v>
      </c>
      <c r="C256" t="s">
        <v>7</v>
      </c>
      <c r="D256">
        <v>698.29</v>
      </c>
      <c r="E256">
        <v>429</v>
      </c>
      <c r="F256">
        <v>2.2000000000000002</v>
      </c>
      <c r="G256" t="b">
        <v>1</v>
      </c>
      <c r="H256">
        <f>(Table1[[#This Row],[price]]*Table1[[#This Row],[units_sold]])</f>
        <v>299566.40999999997</v>
      </c>
      <c r="I256" t="str">
        <f>IF(Table1[[#This Row],[in_stock]]=TRUE,"Available","Out of stock")</f>
        <v>Available</v>
      </c>
      <c r="J256" t="str">
        <f>IF(Table1[[#This Row],[rating]]&gt;=4,"High",IF(Table1[[#This Row],[rating]]&gt;=2.5,"Medium","Low"))</f>
        <v>Low</v>
      </c>
      <c r="K256" t="str">
        <f>IF(Table1[[#This Row],[price]]&lt;200,"Budget",IF(Table1[[#This Row],[price]]&lt;600,"Mid-Range",IF(Table1[[#This Row],[price]]&lt;1000,"Premium","Luxury")))</f>
        <v>Premium</v>
      </c>
      <c r="L256" t="str">
        <f>IF(Table1[[#This Row],[units_sold]]&lt;50,"Very Low",IF(Table1[[#This Row],[units_sold]]&lt;150,"Low",IF(Table1[[#This Row],[units_sold]]&lt;300,"Medium","High")))</f>
        <v>High</v>
      </c>
      <c r="M256" t="str">
        <f t="shared" si="7"/>
        <v>Normal</v>
      </c>
      <c r="N256">
        <f>(Table1[[#This Row],[price]]*0.7)</f>
        <v>488.80299999999994</v>
      </c>
    </row>
    <row r="257" spans="1:14" x14ac:dyDescent="0.35">
      <c r="A257" t="str">
        <f t="shared" si="6"/>
        <v>P256</v>
      </c>
      <c r="B257" t="s">
        <v>13</v>
      </c>
      <c r="C257" t="s">
        <v>9</v>
      </c>
      <c r="D257">
        <v>1485.61</v>
      </c>
      <c r="E257">
        <v>20</v>
      </c>
      <c r="F257">
        <v>1.9</v>
      </c>
      <c r="G257" t="b">
        <v>1</v>
      </c>
      <c r="H257">
        <f>(Table1[[#This Row],[price]]*Table1[[#This Row],[units_sold]])</f>
        <v>29712.199999999997</v>
      </c>
      <c r="I257" t="str">
        <f>IF(Table1[[#This Row],[in_stock]]=TRUE,"Available","Out of stock")</f>
        <v>Available</v>
      </c>
      <c r="J257" t="str">
        <f>IF(Table1[[#This Row],[rating]]&gt;=4,"High",IF(Table1[[#This Row],[rating]]&gt;=2.5,"Medium","Low"))</f>
        <v>Low</v>
      </c>
      <c r="K257" t="str">
        <f>IF(Table1[[#This Row],[price]]&lt;200,"Budget",IF(Table1[[#This Row],[price]]&lt;600,"Mid-Range",IF(Table1[[#This Row],[price]]&lt;1000,"Premium","Luxury")))</f>
        <v>Luxury</v>
      </c>
      <c r="L257" t="str">
        <f>IF(Table1[[#This Row],[units_sold]]&lt;50,"Very Low",IF(Table1[[#This Row],[units_sold]]&lt;150,"Low",IF(Table1[[#This Row],[units_sold]]&lt;300,"Medium","High")))</f>
        <v>Very Low</v>
      </c>
      <c r="M257" t="str">
        <f t="shared" si="7"/>
        <v>Normal</v>
      </c>
      <c r="N257">
        <f>(Table1[[#This Row],[price]]*0.7)</f>
        <v>1039.9269999999999</v>
      </c>
    </row>
    <row r="258" spans="1:14" x14ac:dyDescent="0.35">
      <c r="A258" t="str">
        <f t="shared" ref="A258:A321" si="8">"P"&amp;TEXT(ROW()-1,"000")</f>
        <v>P257</v>
      </c>
      <c r="B258" t="s">
        <v>8</v>
      </c>
      <c r="C258" t="s">
        <v>9</v>
      </c>
      <c r="D258">
        <v>10.35</v>
      </c>
      <c r="E258">
        <v>273</v>
      </c>
      <c r="F258">
        <v>2.1</v>
      </c>
      <c r="G258" t="b">
        <v>1</v>
      </c>
      <c r="H258">
        <f>(Table1[[#This Row],[price]]*Table1[[#This Row],[units_sold]])</f>
        <v>2825.5499999999997</v>
      </c>
      <c r="I258" t="str">
        <f>IF(Table1[[#This Row],[in_stock]]=TRUE,"Available","Out of stock")</f>
        <v>Available</v>
      </c>
      <c r="J258" t="str">
        <f>IF(Table1[[#This Row],[rating]]&gt;=4,"High",IF(Table1[[#This Row],[rating]]&gt;=2.5,"Medium","Low"))</f>
        <v>Low</v>
      </c>
      <c r="K258" t="str">
        <f>IF(Table1[[#This Row],[price]]&lt;200,"Budget",IF(Table1[[#This Row],[price]]&lt;600,"Mid-Range",IF(Table1[[#This Row],[price]]&lt;1000,"Premium","Luxury")))</f>
        <v>Budget</v>
      </c>
      <c r="L258" t="str">
        <f>IF(Table1[[#This Row],[units_sold]]&lt;50,"Very Low",IF(Table1[[#This Row],[units_sold]]&lt;150,"Low",IF(Table1[[#This Row],[units_sold]]&lt;300,"Medium","High")))</f>
        <v>Medium</v>
      </c>
      <c r="M258" t="str">
        <f t="shared" ref="M258:M321" si="9">IF(AND(E258&gt;300,G258=FALSE),"High Demand - Out of Stock","Normal")</f>
        <v>Normal</v>
      </c>
      <c r="N258">
        <f>(Table1[[#This Row],[price]]*0.7)</f>
        <v>7.2449999999999992</v>
      </c>
    </row>
    <row r="259" spans="1:14" x14ac:dyDescent="0.35">
      <c r="A259" t="str">
        <f t="shared" si="8"/>
        <v>P258</v>
      </c>
      <c r="B259" t="s">
        <v>13</v>
      </c>
      <c r="C259" t="s">
        <v>9</v>
      </c>
      <c r="D259">
        <v>286.35000000000002</v>
      </c>
      <c r="E259">
        <v>119</v>
      </c>
      <c r="F259">
        <v>4.2</v>
      </c>
      <c r="G259" t="b">
        <v>1</v>
      </c>
      <c r="H259">
        <f>(Table1[[#This Row],[price]]*Table1[[#This Row],[units_sold]])</f>
        <v>34075.65</v>
      </c>
      <c r="I259" t="str">
        <f>IF(Table1[[#This Row],[in_stock]]=TRUE,"Available","Out of stock")</f>
        <v>Available</v>
      </c>
      <c r="J259" t="str">
        <f>IF(Table1[[#This Row],[rating]]&gt;=4,"High",IF(Table1[[#This Row],[rating]]&gt;=2.5,"Medium","Low"))</f>
        <v>High</v>
      </c>
      <c r="K259" t="str">
        <f>IF(Table1[[#This Row],[price]]&lt;200,"Budget",IF(Table1[[#This Row],[price]]&lt;600,"Mid-Range",IF(Table1[[#This Row],[price]]&lt;1000,"Premium","Luxury")))</f>
        <v>Mid-Range</v>
      </c>
      <c r="L259" t="str">
        <f>IF(Table1[[#This Row],[units_sold]]&lt;50,"Very Low",IF(Table1[[#This Row],[units_sold]]&lt;150,"Low",IF(Table1[[#This Row],[units_sold]]&lt;300,"Medium","High")))</f>
        <v>Low</v>
      </c>
      <c r="M259" t="str">
        <f t="shared" si="9"/>
        <v>Normal</v>
      </c>
      <c r="N259">
        <f>(Table1[[#This Row],[price]]*0.7)</f>
        <v>200.44499999999999</v>
      </c>
    </row>
    <row r="260" spans="1:14" x14ac:dyDescent="0.35">
      <c r="A260" t="str">
        <f t="shared" si="8"/>
        <v>P259</v>
      </c>
      <c r="B260" t="s">
        <v>8</v>
      </c>
      <c r="C260" t="s">
        <v>9</v>
      </c>
      <c r="D260">
        <v>582.11</v>
      </c>
      <c r="E260">
        <v>71</v>
      </c>
      <c r="F260">
        <v>4.7</v>
      </c>
      <c r="G260" t="b">
        <v>0</v>
      </c>
      <c r="H260">
        <f>(Table1[[#This Row],[price]]*Table1[[#This Row],[units_sold]])</f>
        <v>41329.81</v>
      </c>
      <c r="I260" t="str">
        <f>IF(Table1[[#This Row],[in_stock]]=TRUE,"Available","Out of stock")</f>
        <v>Out of stock</v>
      </c>
      <c r="J260" t="str">
        <f>IF(Table1[[#This Row],[rating]]&gt;=4,"High",IF(Table1[[#This Row],[rating]]&gt;=2.5,"Medium","Low"))</f>
        <v>High</v>
      </c>
      <c r="K260" t="str">
        <f>IF(Table1[[#This Row],[price]]&lt;200,"Budget",IF(Table1[[#This Row],[price]]&lt;600,"Mid-Range",IF(Table1[[#This Row],[price]]&lt;1000,"Premium","Luxury")))</f>
        <v>Mid-Range</v>
      </c>
      <c r="L260" t="str">
        <f>IF(Table1[[#This Row],[units_sold]]&lt;50,"Very Low",IF(Table1[[#This Row],[units_sold]]&lt;150,"Low",IF(Table1[[#This Row],[units_sold]]&lt;300,"Medium","High")))</f>
        <v>Low</v>
      </c>
      <c r="M260" t="str">
        <f t="shared" si="9"/>
        <v>Normal</v>
      </c>
      <c r="N260">
        <f>(Table1[[#This Row],[price]]*0.7)</f>
        <v>407.47699999999998</v>
      </c>
    </row>
    <row r="261" spans="1:14" x14ac:dyDescent="0.35">
      <c r="A261" t="str">
        <f t="shared" si="8"/>
        <v>P260</v>
      </c>
      <c r="B261" t="s">
        <v>11</v>
      </c>
      <c r="C261" t="s">
        <v>9</v>
      </c>
      <c r="D261">
        <v>1399.56</v>
      </c>
      <c r="E261">
        <v>4</v>
      </c>
      <c r="F261">
        <v>2.6</v>
      </c>
      <c r="G261" t="b">
        <v>1</v>
      </c>
      <c r="H261">
        <f>(Table1[[#This Row],[price]]*Table1[[#This Row],[units_sold]])</f>
        <v>5598.24</v>
      </c>
      <c r="I261" t="str">
        <f>IF(Table1[[#This Row],[in_stock]]=TRUE,"Available","Out of stock")</f>
        <v>Available</v>
      </c>
      <c r="J261" t="str">
        <f>IF(Table1[[#This Row],[rating]]&gt;=4,"High",IF(Table1[[#This Row],[rating]]&gt;=2.5,"Medium","Low"))</f>
        <v>Medium</v>
      </c>
      <c r="K261" t="str">
        <f>IF(Table1[[#This Row],[price]]&lt;200,"Budget",IF(Table1[[#This Row],[price]]&lt;600,"Mid-Range",IF(Table1[[#This Row],[price]]&lt;1000,"Premium","Luxury")))</f>
        <v>Luxury</v>
      </c>
      <c r="L261" t="str">
        <f>IF(Table1[[#This Row],[units_sold]]&lt;50,"Very Low",IF(Table1[[#This Row],[units_sold]]&lt;150,"Low",IF(Table1[[#This Row],[units_sold]]&lt;300,"Medium","High")))</f>
        <v>Very Low</v>
      </c>
      <c r="M261" t="str">
        <f t="shared" si="9"/>
        <v>Normal</v>
      </c>
      <c r="N261">
        <f>(Table1[[#This Row],[price]]*0.7)</f>
        <v>979.69199999999989</v>
      </c>
    </row>
    <row r="262" spans="1:14" x14ac:dyDescent="0.35">
      <c r="A262" t="str">
        <f t="shared" si="8"/>
        <v>P261</v>
      </c>
      <c r="B262" t="s">
        <v>11</v>
      </c>
      <c r="C262" t="s">
        <v>9</v>
      </c>
      <c r="D262">
        <v>114.34</v>
      </c>
      <c r="E262">
        <v>221</v>
      </c>
      <c r="F262">
        <v>4.5999999999999996</v>
      </c>
      <c r="G262" t="b">
        <v>1</v>
      </c>
      <c r="H262">
        <f>(Table1[[#This Row],[price]]*Table1[[#This Row],[units_sold]])</f>
        <v>25269.14</v>
      </c>
      <c r="I262" t="str">
        <f>IF(Table1[[#This Row],[in_stock]]=TRUE,"Available","Out of stock")</f>
        <v>Available</v>
      </c>
      <c r="J262" t="str">
        <f>IF(Table1[[#This Row],[rating]]&gt;=4,"High",IF(Table1[[#This Row],[rating]]&gt;=2.5,"Medium","Low"))</f>
        <v>High</v>
      </c>
      <c r="K262" t="str">
        <f>IF(Table1[[#This Row],[price]]&lt;200,"Budget",IF(Table1[[#This Row],[price]]&lt;600,"Mid-Range",IF(Table1[[#This Row],[price]]&lt;1000,"Premium","Luxury")))</f>
        <v>Budget</v>
      </c>
      <c r="L262" t="str">
        <f>IF(Table1[[#This Row],[units_sold]]&lt;50,"Very Low",IF(Table1[[#This Row],[units_sold]]&lt;150,"Low",IF(Table1[[#This Row],[units_sold]]&lt;300,"Medium","High")))</f>
        <v>Medium</v>
      </c>
      <c r="M262" t="str">
        <f t="shared" si="9"/>
        <v>Normal</v>
      </c>
      <c r="N262">
        <f>(Table1[[#This Row],[price]]*0.7)</f>
        <v>80.037999999999997</v>
      </c>
    </row>
    <row r="263" spans="1:14" x14ac:dyDescent="0.35">
      <c r="A263" t="str">
        <f t="shared" si="8"/>
        <v>P262</v>
      </c>
      <c r="B263" t="s">
        <v>11</v>
      </c>
      <c r="C263" t="s">
        <v>9</v>
      </c>
      <c r="D263">
        <v>24.13</v>
      </c>
      <c r="E263">
        <v>14</v>
      </c>
      <c r="F263">
        <v>2.2999999999999998</v>
      </c>
      <c r="G263" t="b">
        <v>0</v>
      </c>
      <c r="H263">
        <f>(Table1[[#This Row],[price]]*Table1[[#This Row],[units_sold]])</f>
        <v>337.82</v>
      </c>
      <c r="I263" t="str">
        <f>IF(Table1[[#This Row],[in_stock]]=TRUE,"Available","Out of stock")</f>
        <v>Out of stock</v>
      </c>
      <c r="J263" t="str">
        <f>IF(Table1[[#This Row],[rating]]&gt;=4,"High",IF(Table1[[#This Row],[rating]]&gt;=2.5,"Medium","Low"))</f>
        <v>Low</v>
      </c>
      <c r="K263" t="str">
        <f>IF(Table1[[#This Row],[price]]&lt;200,"Budget",IF(Table1[[#This Row],[price]]&lt;600,"Mid-Range",IF(Table1[[#This Row],[price]]&lt;1000,"Premium","Luxury")))</f>
        <v>Budget</v>
      </c>
      <c r="L263" t="str">
        <f>IF(Table1[[#This Row],[units_sold]]&lt;50,"Very Low",IF(Table1[[#This Row],[units_sold]]&lt;150,"Low",IF(Table1[[#This Row],[units_sold]]&lt;300,"Medium","High")))</f>
        <v>Very Low</v>
      </c>
      <c r="M263" t="str">
        <f t="shared" si="9"/>
        <v>Normal</v>
      </c>
      <c r="N263">
        <f>(Table1[[#This Row],[price]]*0.7)</f>
        <v>16.890999999999998</v>
      </c>
    </row>
    <row r="264" spans="1:14" x14ac:dyDescent="0.35">
      <c r="A264" t="str">
        <f t="shared" si="8"/>
        <v>P263</v>
      </c>
      <c r="B264" t="s">
        <v>15</v>
      </c>
      <c r="C264" t="s">
        <v>7</v>
      </c>
      <c r="D264">
        <v>88.5</v>
      </c>
      <c r="E264">
        <v>3</v>
      </c>
      <c r="F264">
        <v>2.9</v>
      </c>
      <c r="G264" t="b">
        <v>0</v>
      </c>
      <c r="H264">
        <f>(Table1[[#This Row],[price]]*Table1[[#This Row],[units_sold]])</f>
        <v>265.5</v>
      </c>
      <c r="I264" t="str">
        <f>IF(Table1[[#This Row],[in_stock]]=TRUE,"Available","Out of stock")</f>
        <v>Out of stock</v>
      </c>
      <c r="J264" t="str">
        <f>IF(Table1[[#This Row],[rating]]&gt;=4,"High",IF(Table1[[#This Row],[rating]]&gt;=2.5,"Medium","Low"))</f>
        <v>Medium</v>
      </c>
      <c r="K264" t="str">
        <f>IF(Table1[[#This Row],[price]]&lt;200,"Budget",IF(Table1[[#This Row],[price]]&lt;600,"Mid-Range",IF(Table1[[#This Row],[price]]&lt;1000,"Premium","Luxury")))</f>
        <v>Budget</v>
      </c>
      <c r="L264" t="str">
        <f>IF(Table1[[#This Row],[units_sold]]&lt;50,"Very Low",IF(Table1[[#This Row],[units_sold]]&lt;150,"Low",IF(Table1[[#This Row],[units_sold]]&lt;300,"Medium","High")))</f>
        <v>Very Low</v>
      </c>
      <c r="M264" t="str">
        <f t="shared" si="9"/>
        <v>Normal</v>
      </c>
      <c r="N264">
        <f>(Table1[[#This Row],[price]]*0.7)</f>
        <v>61.949999999999996</v>
      </c>
    </row>
    <row r="265" spans="1:14" x14ac:dyDescent="0.35">
      <c r="A265" t="str">
        <f t="shared" si="8"/>
        <v>P264</v>
      </c>
      <c r="B265" t="s">
        <v>13</v>
      </c>
      <c r="C265" t="s">
        <v>9</v>
      </c>
      <c r="D265">
        <v>141.93</v>
      </c>
      <c r="E265">
        <v>216</v>
      </c>
      <c r="F265">
        <v>1.9</v>
      </c>
      <c r="G265" t="b">
        <v>0</v>
      </c>
      <c r="H265">
        <f>(Table1[[#This Row],[price]]*Table1[[#This Row],[units_sold]])</f>
        <v>30656.880000000001</v>
      </c>
      <c r="I265" t="str">
        <f>IF(Table1[[#This Row],[in_stock]]=TRUE,"Available","Out of stock")</f>
        <v>Out of stock</v>
      </c>
      <c r="J265" t="str">
        <f>IF(Table1[[#This Row],[rating]]&gt;=4,"High",IF(Table1[[#This Row],[rating]]&gt;=2.5,"Medium","Low"))</f>
        <v>Low</v>
      </c>
      <c r="K265" t="str">
        <f>IF(Table1[[#This Row],[price]]&lt;200,"Budget",IF(Table1[[#This Row],[price]]&lt;600,"Mid-Range",IF(Table1[[#This Row],[price]]&lt;1000,"Premium","Luxury")))</f>
        <v>Budget</v>
      </c>
      <c r="L265" t="str">
        <f>IF(Table1[[#This Row],[units_sold]]&lt;50,"Very Low",IF(Table1[[#This Row],[units_sold]]&lt;150,"Low",IF(Table1[[#This Row],[units_sold]]&lt;300,"Medium","High")))</f>
        <v>Medium</v>
      </c>
      <c r="M265" t="str">
        <f t="shared" si="9"/>
        <v>Normal</v>
      </c>
      <c r="N265">
        <f>(Table1[[#This Row],[price]]*0.7)</f>
        <v>99.350999999999999</v>
      </c>
    </row>
    <row r="266" spans="1:14" x14ac:dyDescent="0.35">
      <c r="A266" t="str">
        <f t="shared" si="8"/>
        <v>P265</v>
      </c>
      <c r="B266" t="s">
        <v>8</v>
      </c>
      <c r="C266" t="s">
        <v>9</v>
      </c>
      <c r="D266">
        <v>66.02</v>
      </c>
      <c r="E266">
        <v>229</v>
      </c>
      <c r="F266">
        <v>3.6</v>
      </c>
      <c r="G266" t="b">
        <v>1</v>
      </c>
      <c r="H266">
        <f>(Table1[[#This Row],[price]]*Table1[[#This Row],[units_sold]])</f>
        <v>15118.58</v>
      </c>
      <c r="I266" t="str">
        <f>IF(Table1[[#This Row],[in_stock]]=TRUE,"Available","Out of stock")</f>
        <v>Available</v>
      </c>
      <c r="J266" t="str">
        <f>IF(Table1[[#This Row],[rating]]&gt;=4,"High",IF(Table1[[#This Row],[rating]]&gt;=2.5,"Medium","Low"))</f>
        <v>Medium</v>
      </c>
      <c r="K266" t="str">
        <f>IF(Table1[[#This Row],[price]]&lt;200,"Budget",IF(Table1[[#This Row],[price]]&lt;600,"Mid-Range",IF(Table1[[#This Row],[price]]&lt;1000,"Premium","Luxury")))</f>
        <v>Budget</v>
      </c>
      <c r="L266" t="str">
        <f>IF(Table1[[#This Row],[units_sold]]&lt;50,"Very Low",IF(Table1[[#This Row],[units_sold]]&lt;150,"Low",IF(Table1[[#This Row],[units_sold]]&lt;300,"Medium","High")))</f>
        <v>Medium</v>
      </c>
      <c r="M266" t="str">
        <f t="shared" si="9"/>
        <v>Normal</v>
      </c>
      <c r="N266">
        <f>(Table1[[#This Row],[price]]*0.7)</f>
        <v>46.213999999999992</v>
      </c>
    </row>
    <row r="267" spans="1:14" x14ac:dyDescent="0.35">
      <c r="A267" t="str">
        <f t="shared" si="8"/>
        <v>P266</v>
      </c>
      <c r="B267" t="s">
        <v>17</v>
      </c>
      <c r="C267" t="s">
        <v>7</v>
      </c>
      <c r="D267">
        <v>724.87</v>
      </c>
      <c r="E267">
        <v>336</v>
      </c>
      <c r="F267">
        <v>4.9000000000000004</v>
      </c>
      <c r="G267" t="b">
        <v>1</v>
      </c>
      <c r="H267">
        <f>(Table1[[#This Row],[price]]*Table1[[#This Row],[units_sold]])</f>
        <v>243556.32</v>
      </c>
      <c r="I267" t="str">
        <f>IF(Table1[[#This Row],[in_stock]]=TRUE,"Available","Out of stock")</f>
        <v>Available</v>
      </c>
      <c r="J267" t="str">
        <f>IF(Table1[[#This Row],[rating]]&gt;=4,"High",IF(Table1[[#This Row],[rating]]&gt;=2.5,"Medium","Low"))</f>
        <v>High</v>
      </c>
      <c r="K267" t="str">
        <f>IF(Table1[[#This Row],[price]]&lt;200,"Budget",IF(Table1[[#This Row],[price]]&lt;600,"Mid-Range",IF(Table1[[#This Row],[price]]&lt;1000,"Premium","Luxury")))</f>
        <v>Premium</v>
      </c>
      <c r="L267" t="str">
        <f>IF(Table1[[#This Row],[units_sold]]&lt;50,"Very Low",IF(Table1[[#This Row],[units_sold]]&lt;150,"Low",IF(Table1[[#This Row],[units_sold]]&lt;300,"Medium","High")))</f>
        <v>High</v>
      </c>
      <c r="M267" t="str">
        <f t="shared" si="9"/>
        <v>Normal</v>
      </c>
      <c r="N267">
        <f>(Table1[[#This Row],[price]]*0.7)</f>
        <v>507.40899999999999</v>
      </c>
    </row>
    <row r="268" spans="1:14" x14ac:dyDescent="0.35">
      <c r="A268" t="str">
        <f t="shared" si="8"/>
        <v>P267</v>
      </c>
      <c r="B268" t="s">
        <v>16</v>
      </c>
      <c r="C268" t="s">
        <v>9</v>
      </c>
      <c r="D268">
        <v>875.33</v>
      </c>
      <c r="E268">
        <v>186</v>
      </c>
      <c r="F268">
        <v>3.4</v>
      </c>
      <c r="G268" t="b">
        <v>1</v>
      </c>
      <c r="H268">
        <f>(Table1[[#This Row],[price]]*Table1[[#This Row],[units_sold]])</f>
        <v>162811.38</v>
      </c>
      <c r="I268" t="str">
        <f>IF(Table1[[#This Row],[in_stock]]=TRUE,"Available","Out of stock")</f>
        <v>Available</v>
      </c>
      <c r="J268" t="str">
        <f>IF(Table1[[#This Row],[rating]]&gt;=4,"High",IF(Table1[[#This Row],[rating]]&gt;=2.5,"Medium","Low"))</f>
        <v>Medium</v>
      </c>
      <c r="K268" t="str">
        <f>IF(Table1[[#This Row],[price]]&lt;200,"Budget",IF(Table1[[#This Row],[price]]&lt;600,"Mid-Range",IF(Table1[[#This Row],[price]]&lt;1000,"Premium","Luxury")))</f>
        <v>Premium</v>
      </c>
      <c r="L268" t="str">
        <f>IF(Table1[[#This Row],[units_sold]]&lt;50,"Very Low",IF(Table1[[#This Row],[units_sold]]&lt;150,"Low",IF(Table1[[#This Row],[units_sold]]&lt;300,"Medium","High")))</f>
        <v>Medium</v>
      </c>
      <c r="M268" t="str">
        <f t="shared" si="9"/>
        <v>Normal</v>
      </c>
      <c r="N268">
        <f>(Table1[[#This Row],[price]]*0.7)</f>
        <v>612.73099999999999</v>
      </c>
    </row>
    <row r="269" spans="1:14" x14ac:dyDescent="0.35">
      <c r="A269" t="str">
        <f t="shared" si="8"/>
        <v>P268</v>
      </c>
      <c r="B269" t="s">
        <v>17</v>
      </c>
      <c r="C269" t="s">
        <v>7</v>
      </c>
      <c r="D269">
        <v>414.81</v>
      </c>
      <c r="E269">
        <v>55</v>
      </c>
      <c r="F269">
        <v>2.4</v>
      </c>
      <c r="G269" t="b">
        <v>1</v>
      </c>
      <c r="H269">
        <f>(Table1[[#This Row],[price]]*Table1[[#This Row],[units_sold]])</f>
        <v>22814.55</v>
      </c>
      <c r="I269" t="str">
        <f>IF(Table1[[#This Row],[in_stock]]=TRUE,"Available","Out of stock")</f>
        <v>Available</v>
      </c>
      <c r="J269" t="str">
        <f>IF(Table1[[#This Row],[rating]]&gt;=4,"High",IF(Table1[[#This Row],[rating]]&gt;=2.5,"Medium","Low"))</f>
        <v>Low</v>
      </c>
      <c r="K269" t="str">
        <f>IF(Table1[[#This Row],[price]]&lt;200,"Budget",IF(Table1[[#This Row],[price]]&lt;600,"Mid-Range",IF(Table1[[#This Row],[price]]&lt;1000,"Premium","Luxury")))</f>
        <v>Mid-Range</v>
      </c>
      <c r="L269" t="str">
        <f>IF(Table1[[#This Row],[units_sold]]&lt;50,"Very Low",IF(Table1[[#This Row],[units_sold]]&lt;150,"Low",IF(Table1[[#This Row],[units_sold]]&lt;300,"Medium","High")))</f>
        <v>Low</v>
      </c>
      <c r="M269" t="str">
        <f t="shared" si="9"/>
        <v>Normal</v>
      </c>
      <c r="N269">
        <f>(Table1[[#This Row],[price]]*0.7)</f>
        <v>290.36699999999996</v>
      </c>
    </row>
    <row r="270" spans="1:14" x14ac:dyDescent="0.35">
      <c r="A270" t="str">
        <f t="shared" si="8"/>
        <v>P269</v>
      </c>
      <c r="B270" t="s">
        <v>16</v>
      </c>
      <c r="C270" t="s">
        <v>9</v>
      </c>
      <c r="D270">
        <v>603.45000000000005</v>
      </c>
      <c r="E270">
        <v>388</v>
      </c>
      <c r="F270">
        <v>3.6</v>
      </c>
      <c r="G270" t="b">
        <v>1</v>
      </c>
      <c r="H270">
        <f>(Table1[[#This Row],[price]]*Table1[[#This Row],[units_sold]])</f>
        <v>234138.6</v>
      </c>
      <c r="I270" t="str">
        <f>IF(Table1[[#This Row],[in_stock]]=TRUE,"Available","Out of stock")</f>
        <v>Available</v>
      </c>
      <c r="J270" t="str">
        <f>IF(Table1[[#This Row],[rating]]&gt;=4,"High",IF(Table1[[#This Row],[rating]]&gt;=2.5,"Medium","Low"))</f>
        <v>Medium</v>
      </c>
      <c r="K270" t="str">
        <f>IF(Table1[[#This Row],[price]]&lt;200,"Budget",IF(Table1[[#This Row],[price]]&lt;600,"Mid-Range",IF(Table1[[#This Row],[price]]&lt;1000,"Premium","Luxury")))</f>
        <v>Premium</v>
      </c>
      <c r="L270" t="str">
        <f>IF(Table1[[#This Row],[units_sold]]&lt;50,"Very Low",IF(Table1[[#This Row],[units_sold]]&lt;150,"Low",IF(Table1[[#This Row],[units_sold]]&lt;300,"Medium","High")))</f>
        <v>High</v>
      </c>
      <c r="M270" t="str">
        <f t="shared" si="9"/>
        <v>Normal</v>
      </c>
      <c r="N270">
        <f>(Table1[[#This Row],[price]]*0.7)</f>
        <v>422.41500000000002</v>
      </c>
    </row>
    <row r="271" spans="1:14" x14ac:dyDescent="0.35">
      <c r="A271" t="str">
        <f t="shared" si="8"/>
        <v>P270</v>
      </c>
      <c r="B271" t="s">
        <v>12</v>
      </c>
      <c r="C271" t="s">
        <v>7</v>
      </c>
      <c r="D271">
        <v>146.63</v>
      </c>
      <c r="E271">
        <v>376</v>
      </c>
      <c r="F271">
        <v>1.5</v>
      </c>
      <c r="G271" t="b">
        <v>1</v>
      </c>
      <c r="H271">
        <f>(Table1[[#This Row],[price]]*Table1[[#This Row],[units_sold]])</f>
        <v>55132.88</v>
      </c>
      <c r="I271" t="str">
        <f>IF(Table1[[#This Row],[in_stock]]=TRUE,"Available","Out of stock")</f>
        <v>Available</v>
      </c>
      <c r="J271" t="str">
        <f>IF(Table1[[#This Row],[rating]]&gt;=4,"High",IF(Table1[[#This Row],[rating]]&gt;=2.5,"Medium","Low"))</f>
        <v>Low</v>
      </c>
      <c r="K271" t="str">
        <f>IF(Table1[[#This Row],[price]]&lt;200,"Budget",IF(Table1[[#This Row],[price]]&lt;600,"Mid-Range",IF(Table1[[#This Row],[price]]&lt;1000,"Premium","Luxury")))</f>
        <v>Budget</v>
      </c>
      <c r="L271" t="str">
        <f>IF(Table1[[#This Row],[units_sold]]&lt;50,"Very Low",IF(Table1[[#This Row],[units_sold]]&lt;150,"Low",IF(Table1[[#This Row],[units_sold]]&lt;300,"Medium","High")))</f>
        <v>High</v>
      </c>
      <c r="M271" t="str">
        <f t="shared" si="9"/>
        <v>Normal</v>
      </c>
      <c r="N271">
        <f>(Table1[[#This Row],[price]]*0.7)</f>
        <v>102.64099999999999</v>
      </c>
    </row>
    <row r="272" spans="1:14" x14ac:dyDescent="0.35">
      <c r="A272" t="str">
        <f t="shared" si="8"/>
        <v>P271</v>
      </c>
      <c r="B272" t="s">
        <v>17</v>
      </c>
      <c r="C272" t="s">
        <v>7</v>
      </c>
      <c r="D272">
        <v>511.19</v>
      </c>
      <c r="E272">
        <v>254</v>
      </c>
      <c r="F272">
        <v>4.5999999999999996</v>
      </c>
      <c r="G272" t="b">
        <v>0</v>
      </c>
      <c r="H272">
        <f>(Table1[[#This Row],[price]]*Table1[[#This Row],[units_sold]])</f>
        <v>129842.26</v>
      </c>
      <c r="I272" t="str">
        <f>IF(Table1[[#This Row],[in_stock]]=TRUE,"Available","Out of stock")</f>
        <v>Out of stock</v>
      </c>
      <c r="J272" t="str">
        <f>IF(Table1[[#This Row],[rating]]&gt;=4,"High",IF(Table1[[#This Row],[rating]]&gt;=2.5,"Medium","Low"))</f>
        <v>High</v>
      </c>
      <c r="K272" t="str">
        <f>IF(Table1[[#This Row],[price]]&lt;200,"Budget",IF(Table1[[#This Row],[price]]&lt;600,"Mid-Range",IF(Table1[[#This Row],[price]]&lt;1000,"Premium","Luxury")))</f>
        <v>Mid-Range</v>
      </c>
      <c r="L272" t="str">
        <f>IF(Table1[[#This Row],[units_sold]]&lt;50,"Very Low",IF(Table1[[#This Row],[units_sold]]&lt;150,"Low",IF(Table1[[#This Row],[units_sold]]&lt;300,"Medium","High")))</f>
        <v>Medium</v>
      </c>
      <c r="M272" t="str">
        <f t="shared" si="9"/>
        <v>Normal</v>
      </c>
      <c r="N272">
        <f>(Table1[[#This Row],[price]]*0.7)</f>
        <v>357.83299999999997</v>
      </c>
    </row>
    <row r="273" spans="1:14" x14ac:dyDescent="0.35">
      <c r="A273" t="str">
        <f t="shared" si="8"/>
        <v>P272</v>
      </c>
      <c r="B273" t="s">
        <v>6</v>
      </c>
      <c r="C273" t="s">
        <v>7</v>
      </c>
      <c r="D273">
        <v>788.55</v>
      </c>
      <c r="E273">
        <v>24</v>
      </c>
      <c r="F273">
        <v>3</v>
      </c>
      <c r="G273" t="b">
        <v>1</v>
      </c>
      <c r="H273">
        <f>(Table1[[#This Row],[price]]*Table1[[#This Row],[units_sold]])</f>
        <v>18925.199999999997</v>
      </c>
      <c r="I273" t="str">
        <f>IF(Table1[[#This Row],[in_stock]]=TRUE,"Available","Out of stock")</f>
        <v>Available</v>
      </c>
      <c r="J273" t="str">
        <f>IF(Table1[[#This Row],[rating]]&gt;=4,"High",IF(Table1[[#This Row],[rating]]&gt;=2.5,"Medium","Low"))</f>
        <v>Medium</v>
      </c>
      <c r="K273" t="str">
        <f>IF(Table1[[#This Row],[price]]&lt;200,"Budget",IF(Table1[[#This Row],[price]]&lt;600,"Mid-Range",IF(Table1[[#This Row],[price]]&lt;1000,"Premium","Luxury")))</f>
        <v>Premium</v>
      </c>
      <c r="L273" t="str">
        <f>IF(Table1[[#This Row],[units_sold]]&lt;50,"Very Low",IF(Table1[[#This Row],[units_sold]]&lt;150,"Low",IF(Table1[[#This Row],[units_sold]]&lt;300,"Medium","High")))</f>
        <v>Very Low</v>
      </c>
      <c r="M273" t="str">
        <f t="shared" si="9"/>
        <v>Normal</v>
      </c>
      <c r="N273">
        <f>(Table1[[#This Row],[price]]*0.7)</f>
        <v>551.9849999999999</v>
      </c>
    </row>
    <row r="274" spans="1:14" x14ac:dyDescent="0.35">
      <c r="A274" t="str">
        <f t="shared" si="8"/>
        <v>P273</v>
      </c>
      <c r="B274" t="s">
        <v>6</v>
      </c>
      <c r="C274" t="s">
        <v>7</v>
      </c>
      <c r="D274">
        <v>1101.08</v>
      </c>
      <c r="E274">
        <v>162</v>
      </c>
      <c r="F274">
        <v>2.8</v>
      </c>
      <c r="G274" t="b">
        <v>0</v>
      </c>
      <c r="H274">
        <f>(Table1[[#This Row],[price]]*Table1[[#This Row],[units_sold]])</f>
        <v>178374.96</v>
      </c>
      <c r="I274" t="str">
        <f>IF(Table1[[#This Row],[in_stock]]=TRUE,"Available","Out of stock")</f>
        <v>Out of stock</v>
      </c>
      <c r="J274" t="str">
        <f>IF(Table1[[#This Row],[rating]]&gt;=4,"High",IF(Table1[[#This Row],[rating]]&gt;=2.5,"Medium","Low"))</f>
        <v>Medium</v>
      </c>
      <c r="K274" t="str">
        <f>IF(Table1[[#This Row],[price]]&lt;200,"Budget",IF(Table1[[#This Row],[price]]&lt;600,"Mid-Range",IF(Table1[[#This Row],[price]]&lt;1000,"Premium","Luxury")))</f>
        <v>Luxury</v>
      </c>
      <c r="L274" t="str">
        <f>IF(Table1[[#This Row],[units_sold]]&lt;50,"Very Low",IF(Table1[[#This Row],[units_sold]]&lt;150,"Low",IF(Table1[[#This Row],[units_sold]]&lt;300,"Medium","High")))</f>
        <v>Medium</v>
      </c>
      <c r="M274" t="str">
        <f t="shared" si="9"/>
        <v>Normal</v>
      </c>
      <c r="N274">
        <f>(Table1[[#This Row],[price]]*0.7)</f>
        <v>770.75599999999986</v>
      </c>
    </row>
    <row r="275" spans="1:14" x14ac:dyDescent="0.35">
      <c r="A275" t="str">
        <f t="shared" si="8"/>
        <v>P274</v>
      </c>
      <c r="B275" t="s">
        <v>14</v>
      </c>
      <c r="C275" t="s">
        <v>9</v>
      </c>
      <c r="D275">
        <v>14.99</v>
      </c>
      <c r="E275">
        <v>158</v>
      </c>
      <c r="F275">
        <v>3.3</v>
      </c>
      <c r="G275" t="b">
        <v>1</v>
      </c>
      <c r="H275">
        <f>(Table1[[#This Row],[price]]*Table1[[#This Row],[units_sold]])</f>
        <v>2368.42</v>
      </c>
      <c r="I275" t="str">
        <f>IF(Table1[[#This Row],[in_stock]]=TRUE,"Available","Out of stock")</f>
        <v>Available</v>
      </c>
      <c r="J275" t="str">
        <f>IF(Table1[[#This Row],[rating]]&gt;=4,"High",IF(Table1[[#This Row],[rating]]&gt;=2.5,"Medium","Low"))</f>
        <v>Medium</v>
      </c>
      <c r="K275" t="str">
        <f>IF(Table1[[#This Row],[price]]&lt;200,"Budget",IF(Table1[[#This Row],[price]]&lt;600,"Mid-Range",IF(Table1[[#This Row],[price]]&lt;1000,"Premium","Luxury")))</f>
        <v>Budget</v>
      </c>
      <c r="L275" t="str">
        <f>IF(Table1[[#This Row],[units_sold]]&lt;50,"Very Low",IF(Table1[[#This Row],[units_sold]]&lt;150,"Low",IF(Table1[[#This Row],[units_sold]]&lt;300,"Medium","High")))</f>
        <v>Medium</v>
      </c>
      <c r="M275" t="str">
        <f t="shared" si="9"/>
        <v>Normal</v>
      </c>
      <c r="N275">
        <f>(Table1[[#This Row],[price]]*0.7)</f>
        <v>10.493</v>
      </c>
    </row>
    <row r="276" spans="1:14" x14ac:dyDescent="0.35">
      <c r="A276" t="str">
        <f t="shared" si="8"/>
        <v>P275</v>
      </c>
      <c r="B276" t="s">
        <v>13</v>
      </c>
      <c r="C276" t="s">
        <v>9</v>
      </c>
      <c r="D276">
        <v>706.29</v>
      </c>
      <c r="E276">
        <v>82</v>
      </c>
      <c r="F276">
        <v>3.5</v>
      </c>
      <c r="G276" t="b">
        <v>1</v>
      </c>
      <c r="H276">
        <f>(Table1[[#This Row],[price]]*Table1[[#This Row],[units_sold]])</f>
        <v>57915.78</v>
      </c>
      <c r="I276" t="str">
        <f>IF(Table1[[#This Row],[in_stock]]=TRUE,"Available","Out of stock")</f>
        <v>Available</v>
      </c>
      <c r="J276" t="str">
        <f>IF(Table1[[#This Row],[rating]]&gt;=4,"High",IF(Table1[[#This Row],[rating]]&gt;=2.5,"Medium","Low"))</f>
        <v>Medium</v>
      </c>
      <c r="K276" t="str">
        <f>IF(Table1[[#This Row],[price]]&lt;200,"Budget",IF(Table1[[#This Row],[price]]&lt;600,"Mid-Range",IF(Table1[[#This Row],[price]]&lt;1000,"Premium","Luxury")))</f>
        <v>Premium</v>
      </c>
      <c r="L276" t="str">
        <f>IF(Table1[[#This Row],[units_sold]]&lt;50,"Very Low",IF(Table1[[#This Row],[units_sold]]&lt;150,"Low",IF(Table1[[#This Row],[units_sold]]&lt;300,"Medium","High")))</f>
        <v>Low</v>
      </c>
      <c r="M276" t="str">
        <f t="shared" si="9"/>
        <v>Normal</v>
      </c>
      <c r="N276">
        <f>(Table1[[#This Row],[price]]*0.7)</f>
        <v>494.40299999999996</v>
      </c>
    </row>
    <row r="277" spans="1:14" x14ac:dyDescent="0.35">
      <c r="A277" t="str">
        <f t="shared" si="8"/>
        <v>P276</v>
      </c>
      <c r="B277" t="s">
        <v>16</v>
      </c>
      <c r="C277" t="s">
        <v>9</v>
      </c>
      <c r="D277">
        <v>452.53</v>
      </c>
      <c r="E277">
        <v>403</v>
      </c>
      <c r="F277">
        <v>1.3</v>
      </c>
      <c r="G277" t="b">
        <v>1</v>
      </c>
      <c r="H277">
        <f>(Table1[[#This Row],[price]]*Table1[[#This Row],[units_sold]])</f>
        <v>182369.59</v>
      </c>
      <c r="I277" t="str">
        <f>IF(Table1[[#This Row],[in_stock]]=TRUE,"Available","Out of stock")</f>
        <v>Available</v>
      </c>
      <c r="J277" t="str">
        <f>IF(Table1[[#This Row],[rating]]&gt;=4,"High",IF(Table1[[#This Row],[rating]]&gt;=2.5,"Medium","Low"))</f>
        <v>Low</v>
      </c>
      <c r="K277" t="str">
        <f>IF(Table1[[#This Row],[price]]&lt;200,"Budget",IF(Table1[[#This Row],[price]]&lt;600,"Mid-Range",IF(Table1[[#This Row],[price]]&lt;1000,"Premium","Luxury")))</f>
        <v>Mid-Range</v>
      </c>
      <c r="L277" t="str">
        <f>IF(Table1[[#This Row],[units_sold]]&lt;50,"Very Low",IF(Table1[[#This Row],[units_sold]]&lt;150,"Low",IF(Table1[[#This Row],[units_sold]]&lt;300,"Medium","High")))</f>
        <v>High</v>
      </c>
      <c r="M277" t="str">
        <f t="shared" si="9"/>
        <v>Normal</v>
      </c>
      <c r="N277">
        <f>(Table1[[#This Row],[price]]*0.7)</f>
        <v>316.77099999999996</v>
      </c>
    </row>
    <row r="278" spans="1:14" x14ac:dyDescent="0.35">
      <c r="A278" t="str">
        <f t="shared" si="8"/>
        <v>P277</v>
      </c>
      <c r="B278" t="s">
        <v>16</v>
      </c>
      <c r="C278" t="s">
        <v>9</v>
      </c>
      <c r="D278">
        <v>1280.7</v>
      </c>
      <c r="E278">
        <v>159</v>
      </c>
      <c r="F278">
        <v>3.7</v>
      </c>
      <c r="G278" t="b">
        <v>1</v>
      </c>
      <c r="H278">
        <f>(Table1[[#This Row],[price]]*Table1[[#This Row],[units_sold]])</f>
        <v>203631.30000000002</v>
      </c>
      <c r="I278" t="str">
        <f>IF(Table1[[#This Row],[in_stock]]=TRUE,"Available","Out of stock")</f>
        <v>Available</v>
      </c>
      <c r="J278" t="str">
        <f>IF(Table1[[#This Row],[rating]]&gt;=4,"High",IF(Table1[[#This Row],[rating]]&gt;=2.5,"Medium","Low"))</f>
        <v>Medium</v>
      </c>
      <c r="K278" t="str">
        <f>IF(Table1[[#This Row],[price]]&lt;200,"Budget",IF(Table1[[#This Row],[price]]&lt;600,"Mid-Range",IF(Table1[[#This Row],[price]]&lt;1000,"Premium","Luxury")))</f>
        <v>Luxury</v>
      </c>
      <c r="L278" t="str">
        <f>IF(Table1[[#This Row],[units_sold]]&lt;50,"Very Low",IF(Table1[[#This Row],[units_sold]]&lt;150,"Low",IF(Table1[[#This Row],[units_sold]]&lt;300,"Medium","High")))</f>
        <v>Medium</v>
      </c>
      <c r="M278" t="str">
        <f t="shared" si="9"/>
        <v>Normal</v>
      </c>
      <c r="N278">
        <f>(Table1[[#This Row],[price]]*0.7)</f>
        <v>896.49</v>
      </c>
    </row>
    <row r="279" spans="1:14" x14ac:dyDescent="0.35">
      <c r="A279" t="str">
        <f t="shared" si="8"/>
        <v>P278</v>
      </c>
      <c r="B279" t="s">
        <v>13</v>
      </c>
      <c r="C279" t="s">
        <v>9</v>
      </c>
      <c r="D279">
        <v>1076.17</v>
      </c>
      <c r="E279">
        <v>188</v>
      </c>
      <c r="F279">
        <v>2</v>
      </c>
      <c r="G279" t="b">
        <v>1</v>
      </c>
      <c r="H279">
        <f>(Table1[[#This Row],[price]]*Table1[[#This Row],[units_sold]])</f>
        <v>202319.96000000002</v>
      </c>
      <c r="I279" t="str">
        <f>IF(Table1[[#This Row],[in_stock]]=TRUE,"Available","Out of stock")</f>
        <v>Available</v>
      </c>
      <c r="J279" t="str">
        <f>IF(Table1[[#This Row],[rating]]&gt;=4,"High",IF(Table1[[#This Row],[rating]]&gt;=2.5,"Medium","Low"))</f>
        <v>Low</v>
      </c>
      <c r="K279" t="str">
        <f>IF(Table1[[#This Row],[price]]&lt;200,"Budget",IF(Table1[[#This Row],[price]]&lt;600,"Mid-Range",IF(Table1[[#This Row],[price]]&lt;1000,"Premium","Luxury")))</f>
        <v>Luxury</v>
      </c>
      <c r="L279" t="str">
        <f>IF(Table1[[#This Row],[units_sold]]&lt;50,"Very Low",IF(Table1[[#This Row],[units_sold]]&lt;150,"Low",IF(Table1[[#This Row],[units_sold]]&lt;300,"Medium","High")))</f>
        <v>Medium</v>
      </c>
      <c r="M279" t="str">
        <f t="shared" si="9"/>
        <v>Normal</v>
      </c>
      <c r="N279">
        <f>(Table1[[#This Row],[price]]*0.7)</f>
        <v>753.31899999999996</v>
      </c>
    </row>
    <row r="280" spans="1:14" x14ac:dyDescent="0.35">
      <c r="A280" t="str">
        <f t="shared" si="8"/>
        <v>P279</v>
      </c>
      <c r="B280" t="s">
        <v>15</v>
      </c>
      <c r="C280" t="s">
        <v>7</v>
      </c>
      <c r="D280">
        <v>887.77</v>
      </c>
      <c r="E280">
        <v>60</v>
      </c>
      <c r="F280">
        <v>3.9</v>
      </c>
      <c r="G280" t="b">
        <v>1</v>
      </c>
      <c r="H280">
        <f>(Table1[[#This Row],[price]]*Table1[[#This Row],[units_sold]])</f>
        <v>53266.2</v>
      </c>
      <c r="I280" t="str">
        <f>IF(Table1[[#This Row],[in_stock]]=TRUE,"Available","Out of stock")</f>
        <v>Available</v>
      </c>
      <c r="J280" t="str">
        <f>IF(Table1[[#This Row],[rating]]&gt;=4,"High",IF(Table1[[#This Row],[rating]]&gt;=2.5,"Medium","Low"))</f>
        <v>Medium</v>
      </c>
      <c r="K280" t="str">
        <f>IF(Table1[[#This Row],[price]]&lt;200,"Budget",IF(Table1[[#This Row],[price]]&lt;600,"Mid-Range",IF(Table1[[#This Row],[price]]&lt;1000,"Premium","Luxury")))</f>
        <v>Premium</v>
      </c>
      <c r="L280" t="str">
        <f>IF(Table1[[#This Row],[units_sold]]&lt;50,"Very Low",IF(Table1[[#This Row],[units_sold]]&lt;150,"Low",IF(Table1[[#This Row],[units_sold]]&lt;300,"Medium","High")))</f>
        <v>Low</v>
      </c>
      <c r="M280" t="str">
        <f t="shared" si="9"/>
        <v>Normal</v>
      </c>
      <c r="N280">
        <f>(Table1[[#This Row],[price]]*0.7)</f>
        <v>621.43899999999996</v>
      </c>
    </row>
    <row r="281" spans="1:14" x14ac:dyDescent="0.35">
      <c r="A281" t="str">
        <f t="shared" si="8"/>
        <v>P280</v>
      </c>
      <c r="B281" t="s">
        <v>14</v>
      </c>
      <c r="C281" t="s">
        <v>9</v>
      </c>
      <c r="D281">
        <v>423.13</v>
      </c>
      <c r="E281">
        <v>403</v>
      </c>
      <c r="F281">
        <v>4.3</v>
      </c>
      <c r="G281" t="b">
        <v>0</v>
      </c>
      <c r="H281">
        <f>(Table1[[#This Row],[price]]*Table1[[#This Row],[units_sold]])</f>
        <v>170521.38999999998</v>
      </c>
      <c r="I281" t="str">
        <f>IF(Table1[[#This Row],[in_stock]]=TRUE,"Available","Out of stock")</f>
        <v>Out of stock</v>
      </c>
      <c r="J281" t="str">
        <f>IF(Table1[[#This Row],[rating]]&gt;=4,"High",IF(Table1[[#This Row],[rating]]&gt;=2.5,"Medium","Low"))</f>
        <v>High</v>
      </c>
      <c r="K281" t="str">
        <f>IF(Table1[[#This Row],[price]]&lt;200,"Budget",IF(Table1[[#This Row],[price]]&lt;600,"Mid-Range",IF(Table1[[#This Row],[price]]&lt;1000,"Premium","Luxury")))</f>
        <v>Mid-Range</v>
      </c>
      <c r="L281" t="str">
        <f>IF(Table1[[#This Row],[units_sold]]&lt;50,"Very Low",IF(Table1[[#This Row],[units_sold]]&lt;150,"Low",IF(Table1[[#This Row],[units_sold]]&lt;300,"Medium","High")))</f>
        <v>High</v>
      </c>
      <c r="M281" t="str">
        <f t="shared" si="9"/>
        <v>High Demand - Out of Stock</v>
      </c>
      <c r="N281">
        <f>(Table1[[#This Row],[price]]*0.7)</f>
        <v>296.19099999999997</v>
      </c>
    </row>
    <row r="282" spans="1:14" x14ac:dyDescent="0.35">
      <c r="A282" t="str">
        <f t="shared" si="8"/>
        <v>P281</v>
      </c>
      <c r="B282" t="s">
        <v>15</v>
      </c>
      <c r="C282" t="s">
        <v>7</v>
      </c>
      <c r="D282">
        <v>1366.41</v>
      </c>
      <c r="E282">
        <v>305</v>
      </c>
      <c r="F282">
        <v>4.2</v>
      </c>
      <c r="G282" t="b">
        <v>1</v>
      </c>
      <c r="H282">
        <f>(Table1[[#This Row],[price]]*Table1[[#This Row],[units_sold]])</f>
        <v>416755.05000000005</v>
      </c>
      <c r="I282" t="str">
        <f>IF(Table1[[#This Row],[in_stock]]=TRUE,"Available","Out of stock")</f>
        <v>Available</v>
      </c>
      <c r="J282" t="str">
        <f>IF(Table1[[#This Row],[rating]]&gt;=4,"High",IF(Table1[[#This Row],[rating]]&gt;=2.5,"Medium","Low"))</f>
        <v>High</v>
      </c>
      <c r="K282" t="str">
        <f>IF(Table1[[#This Row],[price]]&lt;200,"Budget",IF(Table1[[#This Row],[price]]&lt;600,"Mid-Range",IF(Table1[[#This Row],[price]]&lt;1000,"Premium","Luxury")))</f>
        <v>Luxury</v>
      </c>
      <c r="L282" t="str">
        <f>IF(Table1[[#This Row],[units_sold]]&lt;50,"Very Low",IF(Table1[[#This Row],[units_sold]]&lt;150,"Low",IF(Table1[[#This Row],[units_sold]]&lt;300,"Medium","High")))</f>
        <v>High</v>
      </c>
      <c r="M282" t="str">
        <f t="shared" si="9"/>
        <v>Normal</v>
      </c>
      <c r="N282">
        <f>(Table1[[#This Row],[price]]*0.7)</f>
        <v>956.48699999999997</v>
      </c>
    </row>
    <row r="283" spans="1:14" x14ac:dyDescent="0.35">
      <c r="A283" t="str">
        <f t="shared" si="8"/>
        <v>P282</v>
      </c>
      <c r="B283" t="s">
        <v>15</v>
      </c>
      <c r="C283" t="s">
        <v>7</v>
      </c>
      <c r="D283">
        <v>77.2</v>
      </c>
      <c r="E283">
        <v>319</v>
      </c>
      <c r="F283">
        <v>3.2</v>
      </c>
      <c r="G283" t="b">
        <v>1</v>
      </c>
      <c r="H283">
        <f>(Table1[[#This Row],[price]]*Table1[[#This Row],[units_sold]])</f>
        <v>24626.799999999999</v>
      </c>
      <c r="I283" t="str">
        <f>IF(Table1[[#This Row],[in_stock]]=TRUE,"Available","Out of stock")</f>
        <v>Available</v>
      </c>
      <c r="J283" t="str">
        <f>IF(Table1[[#This Row],[rating]]&gt;=4,"High",IF(Table1[[#This Row],[rating]]&gt;=2.5,"Medium","Low"))</f>
        <v>Medium</v>
      </c>
      <c r="K283" t="str">
        <f>IF(Table1[[#This Row],[price]]&lt;200,"Budget",IF(Table1[[#This Row],[price]]&lt;600,"Mid-Range",IF(Table1[[#This Row],[price]]&lt;1000,"Premium","Luxury")))</f>
        <v>Budget</v>
      </c>
      <c r="L283" t="str">
        <f>IF(Table1[[#This Row],[units_sold]]&lt;50,"Very Low",IF(Table1[[#This Row],[units_sold]]&lt;150,"Low",IF(Table1[[#This Row],[units_sold]]&lt;300,"Medium","High")))</f>
        <v>High</v>
      </c>
      <c r="M283" t="str">
        <f t="shared" si="9"/>
        <v>Normal</v>
      </c>
      <c r="N283">
        <f>(Table1[[#This Row],[price]]*0.7)</f>
        <v>54.04</v>
      </c>
    </row>
    <row r="284" spans="1:14" x14ac:dyDescent="0.35">
      <c r="A284" t="str">
        <f t="shared" si="8"/>
        <v>P283</v>
      </c>
      <c r="B284" t="s">
        <v>15</v>
      </c>
      <c r="C284" t="s">
        <v>7</v>
      </c>
      <c r="D284">
        <v>173.11</v>
      </c>
      <c r="E284">
        <v>366</v>
      </c>
      <c r="F284">
        <v>3.1</v>
      </c>
      <c r="G284" t="b">
        <v>1</v>
      </c>
      <c r="H284">
        <f>(Table1[[#This Row],[price]]*Table1[[#This Row],[units_sold]])</f>
        <v>63358.26</v>
      </c>
      <c r="I284" t="str">
        <f>IF(Table1[[#This Row],[in_stock]]=TRUE,"Available","Out of stock")</f>
        <v>Available</v>
      </c>
      <c r="J284" t="str">
        <f>IF(Table1[[#This Row],[rating]]&gt;=4,"High",IF(Table1[[#This Row],[rating]]&gt;=2.5,"Medium","Low"))</f>
        <v>Medium</v>
      </c>
      <c r="K284" t="str">
        <f>IF(Table1[[#This Row],[price]]&lt;200,"Budget",IF(Table1[[#This Row],[price]]&lt;600,"Mid-Range",IF(Table1[[#This Row],[price]]&lt;1000,"Premium","Luxury")))</f>
        <v>Budget</v>
      </c>
      <c r="L284" t="str">
        <f>IF(Table1[[#This Row],[units_sold]]&lt;50,"Very Low",IF(Table1[[#This Row],[units_sold]]&lt;150,"Low",IF(Table1[[#This Row],[units_sold]]&lt;300,"Medium","High")))</f>
        <v>High</v>
      </c>
      <c r="M284" t="str">
        <f t="shared" si="9"/>
        <v>Normal</v>
      </c>
      <c r="N284">
        <f>(Table1[[#This Row],[price]]*0.7)</f>
        <v>121.17700000000001</v>
      </c>
    </row>
    <row r="285" spans="1:14" x14ac:dyDescent="0.35">
      <c r="A285" t="str">
        <f t="shared" si="8"/>
        <v>P284</v>
      </c>
      <c r="B285" t="s">
        <v>13</v>
      </c>
      <c r="C285" t="s">
        <v>9</v>
      </c>
      <c r="D285">
        <v>593.53</v>
      </c>
      <c r="E285">
        <v>211</v>
      </c>
      <c r="F285">
        <v>1.6</v>
      </c>
      <c r="G285" t="b">
        <v>1</v>
      </c>
      <c r="H285">
        <f>(Table1[[#This Row],[price]]*Table1[[#This Row],[units_sold]])</f>
        <v>125234.82999999999</v>
      </c>
      <c r="I285" t="str">
        <f>IF(Table1[[#This Row],[in_stock]]=TRUE,"Available","Out of stock")</f>
        <v>Available</v>
      </c>
      <c r="J285" t="str">
        <f>IF(Table1[[#This Row],[rating]]&gt;=4,"High",IF(Table1[[#This Row],[rating]]&gt;=2.5,"Medium","Low"))</f>
        <v>Low</v>
      </c>
      <c r="K285" t="str">
        <f>IF(Table1[[#This Row],[price]]&lt;200,"Budget",IF(Table1[[#This Row],[price]]&lt;600,"Mid-Range",IF(Table1[[#This Row],[price]]&lt;1000,"Premium","Luxury")))</f>
        <v>Mid-Range</v>
      </c>
      <c r="L285" t="str">
        <f>IF(Table1[[#This Row],[units_sold]]&lt;50,"Very Low",IF(Table1[[#This Row],[units_sold]]&lt;150,"Low",IF(Table1[[#This Row],[units_sold]]&lt;300,"Medium","High")))</f>
        <v>Medium</v>
      </c>
      <c r="M285" t="str">
        <f t="shared" si="9"/>
        <v>Normal</v>
      </c>
      <c r="N285">
        <f>(Table1[[#This Row],[price]]*0.7)</f>
        <v>415.47099999999995</v>
      </c>
    </row>
    <row r="286" spans="1:14" x14ac:dyDescent="0.35">
      <c r="A286" t="str">
        <f t="shared" si="8"/>
        <v>P285</v>
      </c>
      <c r="B286" t="s">
        <v>15</v>
      </c>
      <c r="C286" t="s">
        <v>7</v>
      </c>
      <c r="D286">
        <v>195.41</v>
      </c>
      <c r="E286">
        <v>406</v>
      </c>
      <c r="F286">
        <v>4.0999999999999996</v>
      </c>
      <c r="G286" t="b">
        <v>1</v>
      </c>
      <c r="H286">
        <f>(Table1[[#This Row],[price]]*Table1[[#This Row],[units_sold]])</f>
        <v>79336.459999999992</v>
      </c>
      <c r="I286" t="str">
        <f>IF(Table1[[#This Row],[in_stock]]=TRUE,"Available","Out of stock")</f>
        <v>Available</v>
      </c>
      <c r="J286" t="str">
        <f>IF(Table1[[#This Row],[rating]]&gt;=4,"High",IF(Table1[[#This Row],[rating]]&gt;=2.5,"Medium","Low"))</f>
        <v>High</v>
      </c>
      <c r="K286" t="str">
        <f>IF(Table1[[#This Row],[price]]&lt;200,"Budget",IF(Table1[[#This Row],[price]]&lt;600,"Mid-Range",IF(Table1[[#This Row],[price]]&lt;1000,"Premium","Luxury")))</f>
        <v>Budget</v>
      </c>
      <c r="L286" t="str">
        <f>IF(Table1[[#This Row],[units_sold]]&lt;50,"Very Low",IF(Table1[[#This Row],[units_sold]]&lt;150,"Low",IF(Table1[[#This Row],[units_sold]]&lt;300,"Medium","High")))</f>
        <v>High</v>
      </c>
      <c r="M286" t="str">
        <f t="shared" si="9"/>
        <v>Normal</v>
      </c>
      <c r="N286">
        <f>(Table1[[#This Row],[price]]*0.7)</f>
        <v>136.78699999999998</v>
      </c>
    </row>
    <row r="287" spans="1:14" x14ac:dyDescent="0.35">
      <c r="A287" t="str">
        <f t="shared" si="8"/>
        <v>P286</v>
      </c>
      <c r="B287" t="s">
        <v>6</v>
      </c>
      <c r="C287" t="s">
        <v>7</v>
      </c>
      <c r="D287">
        <v>1435.06</v>
      </c>
      <c r="E287">
        <v>152</v>
      </c>
      <c r="F287">
        <v>2.1</v>
      </c>
      <c r="G287" t="b">
        <v>1</v>
      </c>
      <c r="H287">
        <f>(Table1[[#This Row],[price]]*Table1[[#This Row],[units_sold]])</f>
        <v>218129.12</v>
      </c>
      <c r="I287" t="str">
        <f>IF(Table1[[#This Row],[in_stock]]=TRUE,"Available","Out of stock")</f>
        <v>Available</v>
      </c>
      <c r="J287" t="str">
        <f>IF(Table1[[#This Row],[rating]]&gt;=4,"High",IF(Table1[[#This Row],[rating]]&gt;=2.5,"Medium","Low"))</f>
        <v>Low</v>
      </c>
      <c r="K287" t="str">
        <f>IF(Table1[[#This Row],[price]]&lt;200,"Budget",IF(Table1[[#This Row],[price]]&lt;600,"Mid-Range",IF(Table1[[#This Row],[price]]&lt;1000,"Premium","Luxury")))</f>
        <v>Luxury</v>
      </c>
      <c r="L287" t="str">
        <f>IF(Table1[[#This Row],[units_sold]]&lt;50,"Very Low",IF(Table1[[#This Row],[units_sold]]&lt;150,"Low",IF(Table1[[#This Row],[units_sold]]&lt;300,"Medium","High")))</f>
        <v>Medium</v>
      </c>
      <c r="M287" t="str">
        <f t="shared" si="9"/>
        <v>Normal</v>
      </c>
      <c r="N287">
        <f>(Table1[[#This Row],[price]]*0.7)</f>
        <v>1004.5419999999999</v>
      </c>
    </row>
    <row r="288" spans="1:14" x14ac:dyDescent="0.35">
      <c r="A288" t="str">
        <f t="shared" si="8"/>
        <v>P287</v>
      </c>
      <c r="B288" t="s">
        <v>11</v>
      </c>
      <c r="C288" t="s">
        <v>9</v>
      </c>
      <c r="D288">
        <v>1199</v>
      </c>
      <c r="E288">
        <v>109</v>
      </c>
      <c r="F288">
        <v>3</v>
      </c>
      <c r="G288" t="b">
        <v>1</v>
      </c>
      <c r="H288">
        <f>(Table1[[#This Row],[price]]*Table1[[#This Row],[units_sold]])</f>
        <v>130691</v>
      </c>
      <c r="I288" t="str">
        <f>IF(Table1[[#This Row],[in_stock]]=TRUE,"Available","Out of stock")</f>
        <v>Available</v>
      </c>
      <c r="J288" t="str">
        <f>IF(Table1[[#This Row],[rating]]&gt;=4,"High",IF(Table1[[#This Row],[rating]]&gt;=2.5,"Medium","Low"))</f>
        <v>Medium</v>
      </c>
      <c r="K288" t="str">
        <f>IF(Table1[[#This Row],[price]]&lt;200,"Budget",IF(Table1[[#This Row],[price]]&lt;600,"Mid-Range",IF(Table1[[#This Row],[price]]&lt;1000,"Premium","Luxury")))</f>
        <v>Luxury</v>
      </c>
      <c r="L288" t="str">
        <f>IF(Table1[[#This Row],[units_sold]]&lt;50,"Very Low",IF(Table1[[#This Row],[units_sold]]&lt;150,"Low",IF(Table1[[#This Row],[units_sold]]&lt;300,"Medium","High")))</f>
        <v>Low</v>
      </c>
      <c r="M288" t="str">
        <f t="shared" si="9"/>
        <v>Normal</v>
      </c>
      <c r="N288">
        <f>(Table1[[#This Row],[price]]*0.7)</f>
        <v>839.3</v>
      </c>
    </row>
    <row r="289" spans="1:14" x14ac:dyDescent="0.35">
      <c r="A289" t="str">
        <f t="shared" si="8"/>
        <v>P288</v>
      </c>
      <c r="B289" t="s">
        <v>12</v>
      </c>
      <c r="C289" t="s">
        <v>7</v>
      </c>
      <c r="D289">
        <v>395.88</v>
      </c>
      <c r="E289">
        <v>76</v>
      </c>
      <c r="F289">
        <v>2.1</v>
      </c>
      <c r="G289" t="b">
        <v>1</v>
      </c>
      <c r="H289">
        <f>(Table1[[#This Row],[price]]*Table1[[#This Row],[units_sold]])</f>
        <v>30086.880000000001</v>
      </c>
      <c r="I289" t="str">
        <f>IF(Table1[[#This Row],[in_stock]]=TRUE,"Available","Out of stock")</f>
        <v>Available</v>
      </c>
      <c r="J289" t="str">
        <f>IF(Table1[[#This Row],[rating]]&gt;=4,"High",IF(Table1[[#This Row],[rating]]&gt;=2.5,"Medium","Low"))</f>
        <v>Low</v>
      </c>
      <c r="K289" t="str">
        <f>IF(Table1[[#This Row],[price]]&lt;200,"Budget",IF(Table1[[#This Row],[price]]&lt;600,"Mid-Range",IF(Table1[[#This Row],[price]]&lt;1000,"Premium","Luxury")))</f>
        <v>Mid-Range</v>
      </c>
      <c r="L289" t="str">
        <f>IF(Table1[[#This Row],[units_sold]]&lt;50,"Very Low",IF(Table1[[#This Row],[units_sold]]&lt;150,"Low",IF(Table1[[#This Row],[units_sold]]&lt;300,"Medium","High")))</f>
        <v>Low</v>
      </c>
      <c r="M289" t="str">
        <f t="shared" si="9"/>
        <v>Normal</v>
      </c>
      <c r="N289">
        <f>(Table1[[#This Row],[price]]*0.7)</f>
        <v>277.11599999999999</v>
      </c>
    </row>
    <row r="290" spans="1:14" x14ac:dyDescent="0.35">
      <c r="A290" t="str">
        <f t="shared" si="8"/>
        <v>P289</v>
      </c>
      <c r="B290" t="s">
        <v>16</v>
      </c>
      <c r="C290" t="s">
        <v>9</v>
      </c>
      <c r="D290">
        <v>886.95</v>
      </c>
      <c r="E290">
        <v>30</v>
      </c>
      <c r="F290">
        <v>1.5</v>
      </c>
      <c r="G290" t="b">
        <v>1</v>
      </c>
      <c r="H290">
        <f>(Table1[[#This Row],[price]]*Table1[[#This Row],[units_sold]])</f>
        <v>26608.5</v>
      </c>
      <c r="I290" t="str">
        <f>IF(Table1[[#This Row],[in_stock]]=TRUE,"Available","Out of stock")</f>
        <v>Available</v>
      </c>
      <c r="J290" t="str">
        <f>IF(Table1[[#This Row],[rating]]&gt;=4,"High",IF(Table1[[#This Row],[rating]]&gt;=2.5,"Medium","Low"))</f>
        <v>Low</v>
      </c>
      <c r="K290" t="str">
        <f>IF(Table1[[#This Row],[price]]&lt;200,"Budget",IF(Table1[[#This Row],[price]]&lt;600,"Mid-Range",IF(Table1[[#This Row],[price]]&lt;1000,"Premium","Luxury")))</f>
        <v>Premium</v>
      </c>
      <c r="L290" t="str">
        <f>IF(Table1[[#This Row],[units_sold]]&lt;50,"Very Low",IF(Table1[[#This Row],[units_sold]]&lt;150,"Low",IF(Table1[[#This Row],[units_sold]]&lt;300,"Medium","High")))</f>
        <v>Very Low</v>
      </c>
      <c r="M290" t="str">
        <f t="shared" si="9"/>
        <v>Normal</v>
      </c>
      <c r="N290">
        <f>(Table1[[#This Row],[price]]*0.7)</f>
        <v>620.86500000000001</v>
      </c>
    </row>
    <row r="291" spans="1:14" x14ac:dyDescent="0.35">
      <c r="A291" t="str">
        <f t="shared" si="8"/>
        <v>P290</v>
      </c>
      <c r="B291" t="s">
        <v>16</v>
      </c>
      <c r="C291" t="s">
        <v>9</v>
      </c>
      <c r="D291">
        <v>1473.67</v>
      </c>
      <c r="E291">
        <v>314</v>
      </c>
      <c r="F291">
        <v>3.5</v>
      </c>
      <c r="G291" t="b">
        <v>1</v>
      </c>
      <c r="H291">
        <f>(Table1[[#This Row],[price]]*Table1[[#This Row],[units_sold]])</f>
        <v>462732.38</v>
      </c>
      <c r="I291" t="str">
        <f>IF(Table1[[#This Row],[in_stock]]=TRUE,"Available","Out of stock")</f>
        <v>Available</v>
      </c>
      <c r="J291" t="str">
        <f>IF(Table1[[#This Row],[rating]]&gt;=4,"High",IF(Table1[[#This Row],[rating]]&gt;=2.5,"Medium","Low"))</f>
        <v>Medium</v>
      </c>
      <c r="K291" t="str">
        <f>IF(Table1[[#This Row],[price]]&lt;200,"Budget",IF(Table1[[#This Row],[price]]&lt;600,"Mid-Range",IF(Table1[[#This Row],[price]]&lt;1000,"Premium","Luxury")))</f>
        <v>Luxury</v>
      </c>
      <c r="L291" t="str">
        <f>IF(Table1[[#This Row],[units_sold]]&lt;50,"Very Low",IF(Table1[[#This Row],[units_sold]]&lt;150,"Low",IF(Table1[[#This Row],[units_sold]]&lt;300,"Medium","High")))</f>
        <v>High</v>
      </c>
      <c r="M291" t="str">
        <f t="shared" si="9"/>
        <v>Normal</v>
      </c>
      <c r="N291">
        <f>(Table1[[#This Row],[price]]*0.7)</f>
        <v>1031.569</v>
      </c>
    </row>
    <row r="292" spans="1:14" x14ac:dyDescent="0.35">
      <c r="A292" t="str">
        <f t="shared" si="8"/>
        <v>P291</v>
      </c>
      <c r="B292" t="s">
        <v>12</v>
      </c>
      <c r="C292" t="s">
        <v>7</v>
      </c>
      <c r="D292">
        <v>1327.46</v>
      </c>
      <c r="E292">
        <v>486</v>
      </c>
      <c r="F292">
        <v>1.2</v>
      </c>
      <c r="G292" t="b">
        <v>1</v>
      </c>
      <c r="H292">
        <f>(Table1[[#This Row],[price]]*Table1[[#This Row],[units_sold]])</f>
        <v>645145.56000000006</v>
      </c>
      <c r="I292" t="str">
        <f>IF(Table1[[#This Row],[in_stock]]=TRUE,"Available","Out of stock")</f>
        <v>Available</v>
      </c>
      <c r="J292" t="str">
        <f>IF(Table1[[#This Row],[rating]]&gt;=4,"High",IF(Table1[[#This Row],[rating]]&gt;=2.5,"Medium","Low"))</f>
        <v>Low</v>
      </c>
      <c r="K292" t="str">
        <f>IF(Table1[[#This Row],[price]]&lt;200,"Budget",IF(Table1[[#This Row],[price]]&lt;600,"Mid-Range",IF(Table1[[#This Row],[price]]&lt;1000,"Premium","Luxury")))</f>
        <v>Luxury</v>
      </c>
      <c r="L292" t="str">
        <f>IF(Table1[[#This Row],[units_sold]]&lt;50,"Very Low",IF(Table1[[#This Row],[units_sold]]&lt;150,"Low",IF(Table1[[#This Row],[units_sold]]&lt;300,"Medium","High")))</f>
        <v>High</v>
      </c>
      <c r="M292" t="str">
        <f t="shared" si="9"/>
        <v>Normal</v>
      </c>
      <c r="N292">
        <f>(Table1[[#This Row],[price]]*0.7)</f>
        <v>929.22199999999998</v>
      </c>
    </row>
    <row r="293" spans="1:14" x14ac:dyDescent="0.35">
      <c r="A293" t="str">
        <f t="shared" si="8"/>
        <v>P292</v>
      </c>
      <c r="B293" t="s">
        <v>13</v>
      </c>
      <c r="C293" t="s">
        <v>9</v>
      </c>
      <c r="D293">
        <v>905.19</v>
      </c>
      <c r="E293">
        <v>117</v>
      </c>
      <c r="F293">
        <v>4</v>
      </c>
      <c r="G293" t="b">
        <v>1</v>
      </c>
      <c r="H293">
        <f>(Table1[[#This Row],[price]]*Table1[[#This Row],[units_sold]])</f>
        <v>105907.23000000001</v>
      </c>
      <c r="I293" t="str">
        <f>IF(Table1[[#This Row],[in_stock]]=TRUE,"Available","Out of stock")</f>
        <v>Available</v>
      </c>
      <c r="J293" t="str">
        <f>IF(Table1[[#This Row],[rating]]&gt;=4,"High",IF(Table1[[#This Row],[rating]]&gt;=2.5,"Medium","Low"))</f>
        <v>High</v>
      </c>
      <c r="K293" t="str">
        <f>IF(Table1[[#This Row],[price]]&lt;200,"Budget",IF(Table1[[#This Row],[price]]&lt;600,"Mid-Range",IF(Table1[[#This Row],[price]]&lt;1000,"Premium","Luxury")))</f>
        <v>Premium</v>
      </c>
      <c r="L293" t="str">
        <f>IF(Table1[[#This Row],[units_sold]]&lt;50,"Very Low",IF(Table1[[#This Row],[units_sold]]&lt;150,"Low",IF(Table1[[#This Row],[units_sold]]&lt;300,"Medium","High")))</f>
        <v>Low</v>
      </c>
      <c r="M293" t="str">
        <f t="shared" si="9"/>
        <v>Normal</v>
      </c>
      <c r="N293">
        <f>(Table1[[#This Row],[price]]*0.7)</f>
        <v>633.63300000000004</v>
      </c>
    </row>
    <row r="294" spans="1:14" x14ac:dyDescent="0.35">
      <c r="A294" t="str">
        <f t="shared" si="8"/>
        <v>P293</v>
      </c>
      <c r="B294" t="s">
        <v>17</v>
      </c>
      <c r="C294" t="s">
        <v>7</v>
      </c>
      <c r="D294">
        <v>1356.55</v>
      </c>
      <c r="E294">
        <v>415</v>
      </c>
      <c r="F294">
        <v>2.2999999999999998</v>
      </c>
      <c r="G294" t="b">
        <v>1</v>
      </c>
      <c r="H294">
        <f>(Table1[[#This Row],[price]]*Table1[[#This Row],[units_sold]])</f>
        <v>562968.25</v>
      </c>
      <c r="I294" t="str">
        <f>IF(Table1[[#This Row],[in_stock]]=TRUE,"Available","Out of stock")</f>
        <v>Available</v>
      </c>
      <c r="J294" t="str">
        <f>IF(Table1[[#This Row],[rating]]&gt;=4,"High",IF(Table1[[#This Row],[rating]]&gt;=2.5,"Medium","Low"))</f>
        <v>Low</v>
      </c>
      <c r="K294" t="str">
        <f>IF(Table1[[#This Row],[price]]&lt;200,"Budget",IF(Table1[[#This Row],[price]]&lt;600,"Mid-Range",IF(Table1[[#This Row],[price]]&lt;1000,"Premium","Luxury")))</f>
        <v>Luxury</v>
      </c>
      <c r="L294" t="str">
        <f>IF(Table1[[#This Row],[units_sold]]&lt;50,"Very Low",IF(Table1[[#This Row],[units_sold]]&lt;150,"Low",IF(Table1[[#This Row],[units_sold]]&lt;300,"Medium","High")))</f>
        <v>High</v>
      </c>
      <c r="M294" t="str">
        <f t="shared" si="9"/>
        <v>Normal</v>
      </c>
      <c r="N294">
        <f>(Table1[[#This Row],[price]]*0.7)</f>
        <v>949.58499999999992</v>
      </c>
    </row>
    <row r="295" spans="1:14" x14ac:dyDescent="0.35">
      <c r="A295" t="str">
        <f t="shared" si="8"/>
        <v>P294</v>
      </c>
      <c r="B295" t="s">
        <v>13</v>
      </c>
      <c r="C295" t="s">
        <v>9</v>
      </c>
      <c r="D295">
        <v>1483.89</v>
      </c>
      <c r="E295">
        <v>356</v>
      </c>
      <c r="F295">
        <v>1</v>
      </c>
      <c r="G295" t="b">
        <v>1</v>
      </c>
      <c r="H295">
        <f>(Table1[[#This Row],[price]]*Table1[[#This Row],[units_sold]])</f>
        <v>528264.84000000008</v>
      </c>
      <c r="I295" t="str">
        <f>IF(Table1[[#This Row],[in_stock]]=TRUE,"Available","Out of stock")</f>
        <v>Available</v>
      </c>
      <c r="J295" t="str">
        <f>IF(Table1[[#This Row],[rating]]&gt;=4,"High",IF(Table1[[#This Row],[rating]]&gt;=2.5,"Medium","Low"))</f>
        <v>Low</v>
      </c>
      <c r="K295" t="str">
        <f>IF(Table1[[#This Row],[price]]&lt;200,"Budget",IF(Table1[[#This Row],[price]]&lt;600,"Mid-Range",IF(Table1[[#This Row],[price]]&lt;1000,"Premium","Luxury")))</f>
        <v>Luxury</v>
      </c>
      <c r="L295" t="str">
        <f>IF(Table1[[#This Row],[units_sold]]&lt;50,"Very Low",IF(Table1[[#This Row],[units_sold]]&lt;150,"Low",IF(Table1[[#This Row],[units_sold]]&lt;300,"Medium","High")))</f>
        <v>High</v>
      </c>
      <c r="M295" t="str">
        <f t="shared" si="9"/>
        <v>Normal</v>
      </c>
      <c r="N295">
        <f>(Table1[[#This Row],[price]]*0.7)</f>
        <v>1038.723</v>
      </c>
    </row>
    <row r="296" spans="1:14" x14ac:dyDescent="0.35">
      <c r="A296" t="str">
        <f t="shared" si="8"/>
        <v>P295</v>
      </c>
      <c r="B296" t="s">
        <v>16</v>
      </c>
      <c r="C296" t="s">
        <v>9</v>
      </c>
      <c r="D296">
        <v>1117.5999999999999</v>
      </c>
      <c r="E296">
        <v>192</v>
      </c>
      <c r="F296">
        <v>3</v>
      </c>
      <c r="G296" t="b">
        <v>1</v>
      </c>
      <c r="H296">
        <f>(Table1[[#This Row],[price]]*Table1[[#This Row],[units_sold]])</f>
        <v>214579.19999999998</v>
      </c>
      <c r="I296" t="str">
        <f>IF(Table1[[#This Row],[in_stock]]=TRUE,"Available","Out of stock")</f>
        <v>Available</v>
      </c>
      <c r="J296" t="str">
        <f>IF(Table1[[#This Row],[rating]]&gt;=4,"High",IF(Table1[[#This Row],[rating]]&gt;=2.5,"Medium","Low"))</f>
        <v>Medium</v>
      </c>
      <c r="K296" t="str">
        <f>IF(Table1[[#This Row],[price]]&lt;200,"Budget",IF(Table1[[#This Row],[price]]&lt;600,"Mid-Range",IF(Table1[[#This Row],[price]]&lt;1000,"Premium","Luxury")))</f>
        <v>Luxury</v>
      </c>
      <c r="L296" t="str">
        <f>IF(Table1[[#This Row],[units_sold]]&lt;50,"Very Low",IF(Table1[[#This Row],[units_sold]]&lt;150,"Low",IF(Table1[[#This Row],[units_sold]]&lt;300,"Medium","High")))</f>
        <v>Medium</v>
      </c>
      <c r="M296" t="str">
        <f t="shared" si="9"/>
        <v>Normal</v>
      </c>
      <c r="N296">
        <f>(Table1[[#This Row],[price]]*0.7)</f>
        <v>782.31999999999994</v>
      </c>
    </row>
    <row r="297" spans="1:14" x14ac:dyDescent="0.35">
      <c r="A297" t="str">
        <f t="shared" si="8"/>
        <v>P296</v>
      </c>
      <c r="B297" t="s">
        <v>16</v>
      </c>
      <c r="C297" t="s">
        <v>9</v>
      </c>
      <c r="D297">
        <v>106.83</v>
      </c>
      <c r="E297">
        <v>19</v>
      </c>
      <c r="F297">
        <v>1.2</v>
      </c>
      <c r="G297" t="b">
        <v>0</v>
      </c>
      <c r="H297">
        <f>(Table1[[#This Row],[price]]*Table1[[#This Row],[units_sold]])</f>
        <v>2029.77</v>
      </c>
      <c r="I297" t="str">
        <f>IF(Table1[[#This Row],[in_stock]]=TRUE,"Available","Out of stock")</f>
        <v>Out of stock</v>
      </c>
      <c r="J297" t="str">
        <f>IF(Table1[[#This Row],[rating]]&gt;=4,"High",IF(Table1[[#This Row],[rating]]&gt;=2.5,"Medium","Low"))</f>
        <v>Low</v>
      </c>
      <c r="K297" t="str">
        <f>IF(Table1[[#This Row],[price]]&lt;200,"Budget",IF(Table1[[#This Row],[price]]&lt;600,"Mid-Range",IF(Table1[[#This Row],[price]]&lt;1000,"Premium","Luxury")))</f>
        <v>Budget</v>
      </c>
      <c r="L297" t="str">
        <f>IF(Table1[[#This Row],[units_sold]]&lt;50,"Very Low",IF(Table1[[#This Row],[units_sold]]&lt;150,"Low",IF(Table1[[#This Row],[units_sold]]&lt;300,"Medium","High")))</f>
        <v>Very Low</v>
      </c>
      <c r="M297" t="str">
        <f t="shared" si="9"/>
        <v>Normal</v>
      </c>
      <c r="N297">
        <f>(Table1[[#This Row],[price]]*0.7)</f>
        <v>74.780999999999992</v>
      </c>
    </row>
    <row r="298" spans="1:14" x14ac:dyDescent="0.35">
      <c r="A298" t="str">
        <f t="shared" si="8"/>
        <v>P297</v>
      </c>
      <c r="B298" t="s">
        <v>12</v>
      </c>
      <c r="C298" t="s">
        <v>7</v>
      </c>
      <c r="D298">
        <v>608.35</v>
      </c>
      <c r="E298">
        <v>432</v>
      </c>
      <c r="F298">
        <v>2.1</v>
      </c>
      <c r="G298" t="b">
        <v>1</v>
      </c>
      <c r="H298">
        <f>(Table1[[#This Row],[price]]*Table1[[#This Row],[units_sold]])</f>
        <v>262807.2</v>
      </c>
      <c r="I298" t="str">
        <f>IF(Table1[[#This Row],[in_stock]]=TRUE,"Available","Out of stock")</f>
        <v>Available</v>
      </c>
      <c r="J298" t="str">
        <f>IF(Table1[[#This Row],[rating]]&gt;=4,"High",IF(Table1[[#This Row],[rating]]&gt;=2.5,"Medium","Low"))</f>
        <v>Low</v>
      </c>
      <c r="K298" t="str">
        <f>IF(Table1[[#This Row],[price]]&lt;200,"Budget",IF(Table1[[#This Row],[price]]&lt;600,"Mid-Range",IF(Table1[[#This Row],[price]]&lt;1000,"Premium","Luxury")))</f>
        <v>Premium</v>
      </c>
      <c r="L298" t="str">
        <f>IF(Table1[[#This Row],[units_sold]]&lt;50,"Very Low",IF(Table1[[#This Row],[units_sold]]&lt;150,"Low",IF(Table1[[#This Row],[units_sold]]&lt;300,"Medium","High")))</f>
        <v>High</v>
      </c>
      <c r="M298" t="str">
        <f t="shared" si="9"/>
        <v>Normal</v>
      </c>
      <c r="N298">
        <f>(Table1[[#This Row],[price]]*0.7)</f>
        <v>425.84499999999997</v>
      </c>
    </row>
    <row r="299" spans="1:14" x14ac:dyDescent="0.35">
      <c r="A299" t="str">
        <f t="shared" si="8"/>
        <v>P298</v>
      </c>
      <c r="B299" t="s">
        <v>15</v>
      </c>
      <c r="C299" t="s">
        <v>7</v>
      </c>
      <c r="D299">
        <v>1258.3599999999999</v>
      </c>
      <c r="E299">
        <v>173</v>
      </c>
      <c r="F299">
        <v>3.8</v>
      </c>
      <c r="G299" t="b">
        <v>0</v>
      </c>
      <c r="H299">
        <f>(Table1[[#This Row],[price]]*Table1[[#This Row],[units_sold]])</f>
        <v>217696.27999999997</v>
      </c>
      <c r="I299" t="str">
        <f>IF(Table1[[#This Row],[in_stock]]=TRUE,"Available","Out of stock")</f>
        <v>Out of stock</v>
      </c>
      <c r="J299" t="str">
        <f>IF(Table1[[#This Row],[rating]]&gt;=4,"High",IF(Table1[[#This Row],[rating]]&gt;=2.5,"Medium","Low"))</f>
        <v>Medium</v>
      </c>
      <c r="K299" t="str">
        <f>IF(Table1[[#This Row],[price]]&lt;200,"Budget",IF(Table1[[#This Row],[price]]&lt;600,"Mid-Range",IF(Table1[[#This Row],[price]]&lt;1000,"Premium","Luxury")))</f>
        <v>Luxury</v>
      </c>
      <c r="L299" t="str">
        <f>IF(Table1[[#This Row],[units_sold]]&lt;50,"Very Low",IF(Table1[[#This Row],[units_sold]]&lt;150,"Low",IF(Table1[[#This Row],[units_sold]]&lt;300,"Medium","High")))</f>
        <v>Medium</v>
      </c>
      <c r="M299" t="str">
        <f t="shared" si="9"/>
        <v>Normal</v>
      </c>
      <c r="N299">
        <f>(Table1[[#This Row],[price]]*0.7)</f>
        <v>880.85199999999986</v>
      </c>
    </row>
    <row r="300" spans="1:14" x14ac:dyDescent="0.35">
      <c r="A300" t="str">
        <f t="shared" si="8"/>
        <v>P299</v>
      </c>
      <c r="B300" t="s">
        <v>13</v>
      </c>
      <c r="C300" t="s">
        <v>9</v>
      </c>
      <c r="D300">
        <v>353.55</v>
      </c>
      <c r="E300">
        <v>228</v>
      </c>
      <c r="F300">
        <v>1.3</v>
      </c>
      <c r="G300" t="b">
        <v>0</v>
      </c>
      <c r="H300">
        <f>(Table1[[#This Row],[price]]*Table1[[#This Row],[units_sold]])</f>
        <v>80609.400000000009</v>
      </c>
      <c r="I300" t="str">
        <f>IF(Table1[[#This Row],[in_stock]]=TRUE,"Available","Out of stock")</f>
        <v>Out of stock</v>
      </c>
      <c r="J300" t="str">
        <f>IF(Table1[[#This Row],[rating]]&gt;=4,"High",IF(Table1[[#This Row],[rating]]&gt;=2.5,"Medium","Low"))</f>
        <v>Low</v>
      </c>
      <c r="K300" t="str">
        <f>IF(Table1[[#This Row],[price]]&lt;200,"Budget",IF(Table1[[#This Row],[price]]&lt;600,"Mid-Range",IF(Table1[[#This Row],[price]]&lt;1000,"Premium","Luxury")))</f>
        <v>Mid-Range</v>
      </c>
      <c r="L300" t="str">
        <f>IF(Table1[[#This Row],[units_sold]]&lt;50,"Very Low",IF(Table1[[#This Row],[units_sold]]&lt;150,"Low",IF(Table1[[#This Row],[units_sold]]&lt;300,"Medium","High")))</f>
        <v>Medium</v>
      </c>
      <c r="M300" t="str">
        <f t="shared" si="9"/>
        <v>Normal</v>
      </c>
      <c r="N300">
        <f>(Table1[[#This Row],[price]]*0.7)</f>
        <v>247.48499999999999</v>
      </c>
    </row>
    <row r="301" spans="1:14" x14ac:dyDescent="0.35">
      <c r="A301" t="str">
        <f t="shared" si="8"/>
        <v>P300</v>
      </c>
      <c r="B301" t="s">
        <v>8</v>
      </c>
      <c r="C301" t="s">
        <v>9</v>
      </c>
      <c r="D301">
        <v>1247.6600000000001</v>
      </c>
      <c r="E301">
        <v>350</v>
      </c>
      <c r="F301">
        <v>4.4000000000000004</v>
      </c>
      <c r="G301" t="b">
        <v>1</v>
      </c>
      <c r="H301">
        <f>(Table1[[#This Row],[price]]*Table1[[#This Row],[units_sold]])</f>
        <v>436681</v>
      </c>
      <c r="I301" t="str">
        <f>IF(Table1[[#This Row],[in_stock]]=TRUE,"Available","Out of stock")</f>
        <v>Available</v>
      </c>
      <c r="J301" t="str">
        <f>IF(Table1[[#This Row],[rating]]&gt;=4,"High",IF(Table1[[#This Row],[rating]]&gt;=2.5,"Medium","Low"))</f>
        <v>High</v>
      </c>
      <c r="K301" t="str">
        <f>IF(Table1[[#This Row],[price]]&lt;200,"Budget",IF(Table1[[#This Row],[price]]&lt;600,"Mid-Range",IF(Table1[[#This Row],[price]]&lt;1000,"Premium","Luxury")))</f>
        <v>Luxury</v>
      </c>
      <c r="L301" t="str">
        <f>IF(Table1[[#This Row],[units_sold]]&lt;50,"Very Low",IF(Table1[[#This Row],[units_sold]]&lt;150,"Low",IF(Table1[[#This Row],[units_sold]]&lt;300,"Medium","High")))</f>
        <v>High</v>
      </c>
      <c r="M301" t="str">
        <f t="shared" si="9"/>
        <v>Normal</v>
      </c>
      <c r="N301">
        <f>(Table1[[#This Row],[price]]*0.7)</f>
        <v>873.36199999999997</v>
      </c>
    </row>
    <row r="302" spans="1:14" x14ac:dyDescent="0.35">
      <c r="A302" t="str">
        <f t="shared" si="8"/>
        <v>P301</v>
      </c>
      <c r="B302" t="s">
        <v>12</v>
      </c>
      <c r="C302" t="s">
        <v>7</v>
      </c>
      <c r="D302">
        <v>189.3</v>
      </c>
      <c r="E302">
        <v>183</v>
      </c>
      <c r="F302">
        <v>1</v>
      </c>
      <c r="G302" t="b">
        <v>1</v>
      </c>
      <c r="H302">
        <f>(Table1[[#This Row],[price]]*Table1[[#This Row],[units_sold]])</f>
        <v>34641.9</v>
      </c>
      <c r="I302" t="str">
        <f>IF(Table1[[#This Row],[in_stock]]=TRUE,"Available","Out of stock")</f>
        <v>Available</v>
      </c>
      <c r="J302" t="str">
        <f>IF(Table1[[#This Row],[rating]]&gt;=4,"High",IF(Table1[[#This Row],[rating]]&gt;=2.5,"Medium","Low"))</f>
        <v>Low</v>
      </c>
      <c r="K302" t="str">
        <f>IF(Table1[[#This Row],[price]]&lt;200,"Budget",IF(Table1[[#This Row],[price]]&lt;600,"Mid-Range",IF(Table1[[#This Row],[price]]&lt;1000,"Premium","Luxury")))</f>
        <v>Budget</v>
      </c>
      <c r="L302" t="str">
        <f>IF(Table1[[#This Row],[units_sold]]&lt;50,"Very Low",IF(Table1[[#This Row],[units_sold]]&lt;150,"Low",IF(Table1[[#This Row],[units_sold]]&lt;300,"Medium","High")))</f>
        <v>Medium</v>
      </c>
      <c r="M302" t="str">
        <f t="shared" si="9"/>
        <v>Normal</v>
      </c>
      <c r="N302">
        <f>(Table1[[#This Row],[price]]*0.7)</f>
        <v>132.51</v>
      </c>
    </row>
    <row r="303" spans="1:14" x14ac:dyDescent="0.35">
      <c r="A303" t="str">
        <f t="shared" si="8"/>
        <v>P302</v>
      </c>
      <c r="B303" t="s">
        <v>6</v>
      </c>
      <c r="C303" t="s">
        <v>7</v>
      </c>
      <c r="D303">
        <v>79.95</v>
      </c>
      <c r="E303">
        <v>113</v>
      </c>
      <c r="F303">
        <v>2</v>
      </c>
      <c r="G303" t="b">
        <v>1</v>
      </c>
      <c r="H303">
        <f>(Table1[[#This Row],[price]]*Table1[[#This Row],[units_sold]])</f>
        <v>9034.35</v>
      </c>
      <c r="I303" t="str">
        <f>IF(Table1[[#This Row],[in_stock]]=TRUE,"Available","Out of stock")</f>
        <v>Available</v>
      </c>
      <c r="J303" t="str">
        <f>IF(Table1[[#This Row],[rating]]&gt;=4,"High",IF(Table1[[#This Row],[rating]]&gt;=2.5,"Medium","Low"))</f>
        <v>Low</v>
      </c>
      <c r="K303" t="str">
        <f>IF(Table1[[#This Row],[price]]&lt;200,"Budget",IF(Table1[[#This Row],[price]]&lt;600,"Mid-Range",IF(Table1[[#This Row],[price]]&lt;1000,"Premium","Luxury")))</f>
        <v>Budget</v>
      </c>
      <c r="L303" t="str">
        <f>IF(Table1[[#This Row],[units_sold]]&lt;50,"Very Low",IF(Table1[[#This Row],[units_sold]]&lt;150,"Low",IF(Table1[[#This Row],[units_sold]]&lt;300,"Medium","High")))</f>
        <v>Low</v>
      </c>
      <c r="M303" t="str">
        <f t="shared" si="9"/>
        <v>Normal</v>
      </c>
      <c r="N303">
        <f>(Table1[[#This Row],[price]]*0.7)</f>
        <v>55.964999999999996</v>
      </c>
    </row>
    <row r="304" spans="1:14" x14ac:dyDescent="0.35">
      <c r="A304" t="str">
        <f t="shared" si="8"/>
        <v>P303</v>
      </c>
      <c r="B304" t="s">
        <v>16</v>
      </c>
      <c r="C304" t="s">
        <v>9</v>
      </c>
      <c r="D304">
        <v>582.29999999999995</v>
      </c>
      <c r="E304">
        <v>183</v>
      </c>
      <c r="F304">
        <v>4</v>
      </c>
      <c r="G304" t="b">
        <v>1</v>
      </c>
      <c r="H304">
        <f>(Table1[[#This Row],[price]]*Table1[[#This Row],[units_sold]])</f>
        <v>106560.9</v>
      </c>
      <c r="I304" t="str">
        <f>IF(Table1[[#This Row],[in_stock]]=TRUE,"Available","Out of stock")</f>
        <v>Available</v>
      </c>
      <c r="J304" t="str">
        <f>IF(Table1[[#This Row],[rating]]&gt;=4,"High",IF(Table1[[#This Row],[rating]]&gt;=2.5,"Medium","Low"))</f>
        <v>High</v>
      </c>
      <c r="K304" t="str">
        <f>IF(Table1[[#This Row],[price]]&lt;200,"Budget",IF(Table1[[#This Row],[price]]&lt;600,"Mid-Range",IF(Table1[[#This Row],[price]]&lt;1000,"Premium","Luxury")))</f>
        <v>Mid-Range</v>
      </c>
      <c r="L304" t="str">
        <f>IF(Table1[[#This Row],[units_sold]]&lt;50,"Very Low",IF(Table1[[#This Row],[units_sold]]&lt;150,"Low",IF(Table1[[#This Row],[units_sold]]&lt;300,"Medium","High")))</f>
        <v>Medium</v>
      </c>
      <c r="M304" t="str">
        <f t="shared" si="9"/>
        <v>Normal</v>
      </c>
      <c r="N304">
        <f>(Table1[[#This Row],[price]]*0.7)</f>
        <v>407.60999999999996</v>
      </c>
    </row>
    <row r="305" spans="1:14" x14ac:dyDescent="0.35">
      <c r="A305" t="str">
        <f t="shared" si="8"/>
        <v>P304</v>
      </c>
      <c r="B305" t="s">
        <v>12</v>
      </c>
      <c r="C305" t="s">
        <v>7</v>
      </c>
      <c r="D305">
        <v>64.73</v>
      </c>
      <c r="E305">
        <v>481</v>
      </c>
      <c r="F305">
        <v>2.2999999999999998</v>
      </c>
      <c r="G305" t="b">
        <v>1</v>
      </c>
      <c r="H305">
        <f>(Table1[[#This Row],[price]]*Table1[[#This Row],[units_sold]])</f>
        <v>31135.13</v>
      </c>
      <c r="I305" t="str">
        <f>IF(Table1[[#This Row],[in_stock]]=TRUE,"Available","Out of stock")</f>
        <v>Available</v>
      </c>
      <c r="J305" t="str">
        <f>IF(Table1[[#This Row],[rating]]&gt;=4,"High",IF(Table1[[#This Row],[rating]]&gt;=2.5,"Medium","Low"))</f>
        <v>Low</v>
      </c>
      <c r="K305" t="str">
        <f>IF(Table1[[#This Row],[price]]&lt;200,"Budget",IF(Table1[[#This Row],[price]]&lt;600,"Mid-Range",IF(Table1[[#This Row],[price]]&lt;1000,"Premium","Luxury")))</f>
        <v>Budget</v>
      </c>
      <c r="L305" t="str">
        <f>IF(Table1[[#This Row],[units_sold]]&lt;50,"Very Low",IF(Table1[[#This Row],[units_sold]]&lt;150,"Low",IF(Table1[[#This Row],[units_sold]]&lt;300,"Medium","High")))</f>
        <v>High</v>
      </c>
      <c r="M305" t="str">
        <f t="shared" si="9"/>
        <v>Normal</v>
      </c>
      <c r="N305">
        <f>(Table1[[#This Row],[price]]*0.7)</f>
        <v>45.311</v>
      </c>
    </row>
    <row r="306" spans="1:14" x14ac:dyDescent="0.35">
      <c r="A306" t="str">
        <f t="shared" si="8"/>
        <v>P305</v>
      </c>
      <c r="B306" t="s">
        <v>13</v>
      </c>
      <c r="C306" t="s">
        <v>9</v>
      </c>
      <c r="D306">
        <v>1436.33</v>
      </c>
      <c r="E306">
        <v>146</v>
      </c>
      <c r="F306">
        <v>1.4</v>
      </c>
      <c r="G306" t="b">
        <v>1</v>
      </c>
      <c r="H306">
        <f>(Table1[[#This Row],[price]]*Table1[[#This Row],[units_sold]])</f>
        <v>209704.18</v>
      </c>
      <c r="I306" t="str">
        <f>IF(Table1[[#This Row],[in_stock]]=TRUE,"Available","Out of stock")</f>
        <v>Available</v>
      </c>
      <c r="J306" t="str">
        <f>IF(Table1[[#This Row],[rating]]&gt;=4,"High",IF(Table1[[#This Row],[rating]]&gt;=2.5,"Medium","Low"))</f>
        <v>Low</v>
      </c>
      <c r="K306" t="str">
        <f>IF(Table1[[#This Row],[price]]&lt;200,"Budget",IF(Table1[[#This Row],[price]]&lt;600,"Mid-Range",IF(Table1[[#This Row],[price]]&lt;1000,"Premium","Luxury")))</f>
        <v>Luxury</v>
      </c>
      <c r="L306" t="str">
        <f>IF(Table1[[#This Row],[units_sold]]&lt;50,"Very Low",IF(Table1[[#This Row],[units_sold]]&lt;150,"Low",IF(Table1[[#This Row],[units_sold]]&lt;300,"Medium","High")))</f>
        <v>Low</v>
      </c>
      <c r="M306" t="str">
        <f t="shared" si="9"/>
        <v>Normal</v>
      </c>
      <c r="N306">
        <f>(Table1[[#This Row],[price]]*0.7)</f>
        <v>1005.4309999999999</v>
      </c>
    </row>
    <row r="307" spans="1:14" x14ac:dyDescent="0.35">
      <c r="A307" t="str">
        <f t="shared" si="8"/>
        <v>P306</v>
      </c>
      <c r="B307" t="s">
        <v>16</v>
      </c>
      <c r="C307" t="s">
        <v>9</v>
      </c>
      <c r="D307">
        <v>1241.05</v>
      </c>
      <c r="E307">
        <v>319</v>
      </c>
      <c r="F307">
        <v>2.4</v>
      </c>
      <c r="G307" t="b">
        <v>1</v>
      </c>
      <c r="H307">
        <f>(Table1[[#This Row],[price]]*Table1[[#This Row],[units_sold]])</f>
        <v>395894.95</v>
      </c>
      <c r="I307" t="str">
        <f>IF(Table1[[#This Row],[in_stock]]=TRUE,"Available","Out of stock")</f>
        <v>Available</v>
      </c>
      <c r="J307" t="str">
        <f>IF(Table1[[#This Row],[rating]]&gt;=4,"High",IF(Table1[[#This Row],[rating]]&gt;=2.5,"Medium","Low"))</f>
        <v>Low</v>
      </c>
      <c r="K307" t="str">
        <f>IF(Table1[[#This Row],[price]]&lt;200,"Budget",IF(Table1[[#This Row],[price]]&lt;600,"Mid-Range",IF(Table1[[#This Row],[price]]&lt;1000,"Premium","Luxury")))</f>
        <v>Luxury</v>
      </c>
      <c r="L307" t="str">
        <f>IF(Table1[[#This Row],[units_sold]]&lt;50,"Very Low",IF(Table1[[#This Row],[units_sold]]&lt;150,"Low",IF(Table1[[#This Row],[units_sold]]&lt;300,"Medium","High")))</f>
        <v>High</v>
      </c>
      <c r="M307" t="str">
        <f t="shared" si="9"/>
        <v>Normal</v>
      </c>
      <c r="N307">
        <f>(Table1[[#This Row],[price]]*0.7)</f>
        <v>868.7349999999999</v>
      </c>
    </row>
    <row r="308" spans="1:14" x14ac:dyDescent="0.35">
      <c r="A308" t="str">
        <f t="shared" si="8"/>
        <v>P307</v>
      </c>
      <c r="B308" t="s">
        <v>17</v>
      </c>
      <c r="C308" t="s">
        <v>7</v>
      </c>
      <c r="D308">
        <v>1203.1500000000001</v>
      </c>
      <c r="E308">
        <v>116</v>
      </c>
      <c r="F308">
        <v>2.1</v>
      </c>
      <c r="G308" t="b">
        <v>0</v>
      </c>
      <c r="H308">
        <f>(Table1[[#This Row],[price]]*Table1[[#This Row],[units_sold]])</f>
        <v>139565.40000000002</v>
      </c>
      <c r="I308" t="str">
        <f>IF(Table1[[#This Row],[in_stock]]=TRUE,"Available","Out of stock")</f>
        <v>Out of stock</v>
      </c>
      <c r="J308" t="str">
        <f>IF(Table1[[#This Row],[rating]]&gt;=4,"High",IF(Table1[[#This Row],[rating]]&gt;=2.5,"Medium","Low"))</f>
        <v>Low</v>
      </c>
      <c r="K308" t="str">
        <f>IF(Table1[[#This Row],[price]]&lt;200,"Budget",IF(Table1[[#This Row],[price]]&lt;600,"Mid-Range",IF(Table1[[#This Row],[price]]&lt;1000,"Premium","Luxury")))</f>
        <v>Luxury</v>
      </c>
      <c r="L308" t="str">
        <f>IF(Table1[[#This Row],[units_sold]]&lt;50,"Very Low",IF(Table1[[#This Row],[units_sold]]&lt;150,"Low",IF(Table1[[#This Row],[units_sold]]&lt;300,"Medium","High")))</f>
        <v>Low</v>
      </c>
      <c r="M308" t="str">
        <f t="shared" si="9"/>
        <v>Normal</v>
      </c>
      <c r="N308">
        <f>(Table1[[#This Row],[price]]*0.7)</f>
        <v>842.20500000000004</v>
      </c>
    </row>
    <row r="309" spans="1:14" x14ac:dyDescent="0.35">
      <c r="A309" t="str">
        <f t="shared" si="8"/>
        <v>P308</v>
      </c>
      <c r="B309" t="s">
        <v>12</v>
      </c>
      <c r="C309" t="s">
        <v>7</v>
      </c>
      <c r="D309">
        <v>948.37</v>
      </c>
      <c r="E309">
        <v>113</v>
      </c>
      <c r="F309">
        <v>4.4000000000000004</v>
      </c>
      <c r="G309" t="b">
        <v>1</v>
      </c>
      <c r="H309">
        <f>(Table1[[#This Row],[price]]*Table1[[#This Row],[units_sold]])</f>
        <v>107165.81</v>
      </c>
      <c r="I309" t="str">
        <f>IF(Table1[[#This Row],[in_stock]]=TRUE,"Available","Out of stock")</f>
        <v>Available</v>
      </c>
      <c r="J309" t="str">
        <f>IF(Table1[[#This Row],[rating]]&gt;=4,"High",IF(Table1[[#This Row],[rating]]&gt;=2.5,"Medium","Low"))</f>
        <v>High</v>
      </c>
      <c r="K309" t="str">
        <f>IF(Table1[[#This Row],[price]]&lt;200,"Budget",IF(Table1[[#This Row],[price]]&lt;600,"Mid-Range",IF(Table1[[#This Row],[price]]&lt;1000,"Premium","Luxury")))</f>
        <v>Premium</v>
      </c>
      <c r="L309" t="str">
        <f>IF(Table1[[#This Row],[units_sold]]&lt;50,"Very Low",IF(Table1[[#This Row],[units_sold]]&lt;150,"Low",IF(Table1[[#This Row],[units_sold]]&lt;300,"Medium","High")))</f>
        <v>Low</v>
      </c>
      <c r="M309" t="str">
        <f t="shared" si="9"/>
        <v>Normal</v>
      </c>
      <c r="N309">
        <f>(Table1[[#This Row],[price]]*0.7)</f>
        <v>663.85899999999992</v>
      </c>
    </row>
    <row r="310" spans="1:14" x14ac:dyDescent="0.35">
      <c r="A310" t="str">
        <f t="shared" si="8"/>
        <v>P309</v>
      </c>
      <c r="B310" t="s">
        <v>14</v>
      </c>
      <c r="C310" t="s">
        <v>9</v>
      </c>
      <c r="D310">
        <v>332.32</v>
      </c>
      <c r="E310">
        <v>251</v>
      </c>
      <c r="F310">
        <v>2.2999999999999998</v>
      </c>
      <c r="G310" t="b">
        <v>1</v>
      </c>
      <c r="H310">
        <f>(Table1[[#This Row],[price]]*Table1[[#This Row],[units_sold]])</f>
        <v>83412.319999999992</v>
      </c>
      <c r="I310" t="str">
        <f>IF(Table1[[#This Row],[in_stock]]=TRUE,"Available","Out of stock")</f>
        <v>Available</v>
      </c>
      <c r="J310" t="str">
        <f>IF(Table1[[#This Row],[rating]]&gt;=4,"High",IF(Table1[[#This Row],[rating]]&gt;=2.5,"Medium","Low"))</f>
        <v>Low</v>
      </c>
      <c r="K310" t="str">
        <f>IF(Table1[[#This Row],[price]]&lt;200,"Budget",IF(Table1[[#This Row],[price]]&lt;600,"Mid-Range",IF(Table1[[#This Row],[price]]&lt;1000,"Premium","Luxury")))</f>
        <v>Mid-Range</v>
      </c>
      <c r="L310" t="str">
        <f>IF(Table1[[#This Row],[units_sold]]&lt;50,"Very Low",IF(Table1[[#This Row],[units_sold]]&lt;150,"Low",IF(Table1[[#This Row],[units_sold]]&lt;300,"Medium","High")))</f>
        <v>Medium</v>
      </c>
      <c r="M310" t="str">
        <f t="shared" si="9"/>
        <v>Normal</v>
      </c>
      <c r="N310">
        <f>(Table1[[#This Row],[price]]*0.7)</f>
        <v>232.62399999999997</v>
      </c>
    </row>
    <row r="311" spans="1:14" x14ac:dyDescent="0.35">
      <c r="A311" t="str">
        <f t="shared" si="8"/>
        <v>P310</v>
      </c>
      <c r="B311" t="s">
        <v>16</v>
      </c>
      <c r="C311" t="s">
        <v>9</v>
      </c>
      <c r="D311">
        <v>782.21</v>
      </c>
      <c r="E311">
        <v>476</v>
      </c>
      <c r="F311">
        <v>4.2</v>
      </c>
      <c r="G311" t="b">
        <v>1</v>
      </c>
      <c r="H311">
        <f>(Table1[[#This Row],[price]]*Table1[[#This Row],[units_sold]])</f>
        <v>372331.96</v>
      </c>
      <c r="I311" t="str">
        <f>IF(Table1[[#This Row],[in_stock]]=TRUE,"Available","Out of stock")</f>
        <v>Available</v>
      </c>
      <c r="J311" t="str">
        <f>IF(Table1[[#This Row],[rating]]&gt;=4,"High",IF(Table1[[#This Row],[rating]]&gt;=2.5,"Medium","Low"))</f>
        <v>High</v>
      </c>
      <c r="K311" t="str">
        <f>IF(Table1[[#This Row],[price]]&lt;200,"Budget",IF(Table1[[#This Row],[price]]&lt;600,"Mid-Range",IF(Table1[[#This Row],[price]]&lt;1000,"Premium","Luxury")))</f>
        <v>Premium</v>
      </c>
      <c r="L311" t="str">
        <f>IF(Table1[[#This Row],[units_sold]]&lt;50,"Very Low",IF(Table1[[#This Row],[units_sold]]&lt;150,"Low",IF(Table1[[#This Row],[units_sold]]&lt;300,"Medium","High")))</f>
        <v>High</v>
      </c>
      <c r="M311" t="str">
        <f t="shared" si="9"/>
        <v>Normal</v>
      </c>
      <c r="N311">
        <f>(Table1[[#This Row],[price]]*0.7)</f>
        <v>547.54700000000003</v>
      </c>
    </row>
    <row r="312" spans="1:14" x14ac:dyDescent="0.35">
      <c r="A312" t="str">
        <f t="shared" si="8"/>
        <v>P311</v>
      </c>
      <c r="B312" t="s">
        <v>13</v>
      </c>
      <c r="C312" t="s">
        <v>9</v>
      </c>
      <c r="D312">
        <v>899.94</v>
      </c>
      <c r="E312">
        <v>251</v>
      </c>
      <c r="F312">
        <v>4.5999999999999996</v>
      </c>
      <c r="G312" t="b">
        <v>1</v>
      </c>
      <c r="H312">
        <f>(Table1[[#This Row],[price]]*Table1[[#This Row],[units_sold]])</f>
        <v>225884.94</v>
      </c>
      <c r="I312" t="str">
        <f>IF(Table1[[#This Row],[in_stock]]=TRUE,"Available","Out of stock")</f>
        <v>Available</v>
      </c>
      <c r="J312" t="str">
        <f>IF(Table1[[#This Row],[rating]]&gt;=4,"High",IF(Table1[[#This Row],[rating]]&gt;=2.5,"Medium","Low"))</f>
        <v>High</v>
      </c>
      <c r="K312" t="str">
        <f>IF(Table1[[#This Row],[price]]&lt;200,"Budget",IF(Table1[[#This Row],[price]]&lt;600,"Mid-Range",IF(Table1[[#This Row],[price]]&lt;1000,"Premium","Luxury")))</f>
        <v>Premium</v>
      </c>
      <c r="L312" t="str">
        <f>IF(Table1[[#This Row],[units_sold]]&lt;50,"Very Low",IF(Table1[[#This Row],[units_sold]]&lt;150,"Low",IF(Table1[[#This Row],[units_sold]]&lt;300,"Medium","High")))</f>
        <v>Medium</v>
      </c>
      <c r="M312" t="str">
        <f t="shared" si="9"/>
        <v>Normal</v>
      </c>
      <c r="N312">
        <f>(Table1[[#This Row],[price]]*0.7)</f>
        <v>629.95799999999997</v>
      </c>
    </row>
    <row r="313" spans="1:14" x14ac:dyDescent="0.35">
      <c r="A313" t="str">
        <f t="shared" si="8"/>
        <v>P312</v>
      </c>
      <c r="B313" t="s">
        <v>11</v>
      </c>
      <c r="C313" t="s">
        <v>9</v>
      </c>
      <c r="D313">
        <v>792.3</v>
      </c>
      <c r="E313">
        <v>303</v>
      </c>
      <c r="F313">
        <v>2.7</v>
      </c>
      <c r="G313" t="b">
        <v>1</v>
      </c>
      <c r="H313">
        <f>(Table1[[#This Row],[price]]*Table1[[#This Row],[units_sold]])</f>
        <v>240066.9</v>
      </c>
      <c r="I313" t="str">
        <f>IF(Table1[[#This Row],[in_stock]]=TRUE,"Available","Out of stock")</f>
        <v>Available</v>
      </c>
      <c r="J313" t="str">
        <f>IF(Table1[[#This Row],[rating]]&gt;=4,"High",IF(Table1[[#This Row],[rating]]&gt;=2.5,"Medium","Low"))</f>
        <v>Medium</v>
      </c>
      <c r="K313" t="str">
        <f>IF(Table1[[#This Row],[price]]&lt;200,"Budget",IF(Table1[[#This Row],[price]]&lt;600,"Mid-Range",IF(Table1[[#This Row],[price]]&lt;1000,"Premium","Luxury")))</f>
        <v>Premium</v>
      </c>
      <c r="L313" t="str">
        <f>IF(Table1[[#This Row],[units_sold]]&lt;50,"Very Low",IF(Table1[[#This Row],[units_sold]]&lt;150,"Low",IF(Table1[[#This Row],[units_sold]]&lt;300,"Medium","High")))</f>
        <v>High</v>
      </c>
      <c r="M313" t="str">
        <f t="shared" si="9"/>
        <v>Normal</v>
      </c>
      <c r="N313">
        <f>(Table1[[#This Row],[price]]*0.7)</f>
        <v>554.6099999999999</v>
      </c>
    </row>
    <row r="314" spans="1:14" x14ac:dyDescent="0.35">
      <c r="A314" t="str">
        <f t="shared" si="8"/>
        <v>P313</v>
      </c>
      <c r="B314" t="s">
        <v>8</v>
      </c>
      <c r="C314" t="s">
        <v>9</v>
      </c>
      <c r="D314">
        <v>397.75</v>
      </c>
      <c r="E314">
        <v>459</v>
      </c>
      <c r="F314">
        <v>4.5999999999999996</v>
      </c>
      <c r="G314" t="b">
        <v>0</v>
      </c>
      <c r="H314">
        <f>(Table1[[#This Row],[price]]*Table1[[#This Row],[units_sold]])</f>
        <v>182567.25</v>
      </c>
      <c r="I314" t="str">
        <f>IF(Table1[[#This Row],[in_stock]]=TRUE,"Available","Out of stock")</f>
        <v>Out of stock</v>
      </c>
      <c r="J314" t="str">
        <f>IF(Table1[[#This Row],[rating]]&gt;=4,"High",IF(Table1[[#This Row],[rating]]&gt;=2.5,"Medium","Low"))</f>
        <v>High</v>
      </c>
      <c r="K314" t="str">
        <f>IF(Table1[[#This Row],[price]]&lt;200,"Budget",IF(Table1[[#This Row],[price]]&lt;600,"Mid-Range",IF(Table1[[#This Row],[price]]&lt;1000,"Premium","Luxury")))</f>
        <v>Mid-Range</v>
      </c>
      <c r="L314" t="str">
        <f>IF(Table1[[#This Row],[units_sold]]&lt;50,"Very Low",IF(Table1[[#This Row],[units_sold]]&lt;150,"Low",IF(Table1[[#This Row],[units_sold]]&lt;300,"Medium","High")))</f>
        <v>High</v>
      </c>
      <c r="M314" t="str">
        <f t="shared" si="9"/>
        <v>High Demand - Out of Stock</v>
      </c>
      <c r="N314">
        <f>(Table1[[#This Row],[price]]*0.7)</f>
        <v>278.42499999999995</v>
      </c>
    </row>
    <row r="315" spans="1:14" x14ac:dyDescent="0.35">
      <c r="A315" t="str">
        <f t="shared" si="8"/>
        <v>P314</v>
      </c>
      <c r="B315" t="s">
        <v>10</v>
      </c>
      <c r="C315" t="s">
        <v>9</v>
      </c>
      <c r="D315">
        <v>777.72</v>
      </c>
      <c r="E315">
        <v>313</v>
      </c>
      <c r="F315">
        <v>2.5</v>
      </c>
      <c r="G315" t="b">
        <v>1</v>
      </c>
      <c r="H315">
        <f>(Table1[[#This Row],[price]]*Table1[[#This Row],[units_sold]])</f>
        <v>243426.36000000002</v>
      </c>
      <c r="I315" t="str">
        <f>IF(Table1[[#This Row],[in_stock]]=TRUE,"Available","Out of stock")</f>
        <v>Available</v>
      </c>
      <c r="J315" t="str">
        <f>IF(Table1[[#This Row],[rating]]&gt;=4,"High",IF(Table1[[#This Row],[rating]]&gt;=2.5,"Medium","Low"))</f>
        <v>Medium</v>
      </c>
      <c r="K315" t="str">
        <f>IF(Table1[[#This Row],[price]]&lt;200,"Budget",IF(Table1[[#This Row],[price]]&lt;600,"Mid-Range",IF(Table1[[#This Row],[price]]&lt;1000,"Premium","Luxury")))</f>
        <v>Premium</v>
      </c>
      <c r="L315" t="str">
        <f>IF(Table1[[#This Row],[units_sold]]&lt;50,"Very Low",IF(Table1[[#This Row],[units_sold]]&lt;150,"Low",IF(Table1[[#This Row],[units_sold]]&lt;300,"Medium","High")))</f>
        <v>High</v>
      </c>
      <c r="M315" t="str">
        <f t="shared" si="9"/>
        <v>Normal</v>
      </c>
      <c r="N315">
        <f>(Table1[[#This Row],[price]]*0.7)</f>
        <v>544.404</v>
      </c>
    </row>
    <row r="316" spans="1:14" x14ac:dyDescent="0.35">
      <c r="A316" t="str">
        <f t="shared" si="8"/>
        <v>P315</v>
      </c>
      <c r="B316" t="s">
        <v>15</v>
      </c>
      <c r="C316" t="s">
        <v>7</v>
      </c>
      <c r="D316">
        <v>741.87</v>
      </c>
      <c r="E316">
        <v>118</v>
      </c>
      <c r="F316">
        <v>4.9000000000000004</v>
      </c>
      <c r="G316" t="b">
        <v>1</v>
      </c>
      <c r="H316">
        <f>(Table1[[#This Row],[price]]*Table1[[#This Row],[units_sold]])</f>
        <v>87540.66</v>
      </c>
      <c r="I316" t="str">
        <f>IF(Table1[[#This Row],[in_stock]]=TRUE,"Available","Out of stock")</f>
        <v>Available</v>
      </c>
      <c r="J316" t="str">
        <f>IF(Table1[[#This Row],[rating]]&gt;=4,"High",IF(Table1[[#This Row],[rating]]&gt;=2.5,"Medium","Low"))</f>
        <v>High</v>
      </c>
      <c r="K316" t="str">
        <f>IF(Table1[[#This Row],[price]]&lt;200,"Budget",IF(Table1[[#This Row],[price]]&lt;600,"Mid-Range",IF(Table1[[#This Row],[price]]&lt;1000,"Premium","Luxury")))</f>
        <v>Premium</v>
      </c>
      <c r="L316" t="str">
        <f>IF(Table1[[#This Row],[units_sold]]&lt;50,"Very Low",IF(Table1[[#This Row],[units_sold]]&lt;150,"Low",IF(Table1[[#This Row],[units_sold]]&lt;300,"Medium","High")))</f>
        <v>Low</v>
      </c>
      <c r="M316" t="str">
        <f t="shared" si="9"/>
        <v>Normal</v>
      </c>
      <c r="N316">
        <f>(Table1[[#This Row],[price]]*0.7)</f>
        <v>519.30899999999997</v>
      </c>
    </row>
    <row r="317" spans="1:14" x14ac:dyDescent="0.35">
      <c r="A317" t="str">
        <f t="shared" si="8"/>
        <v>P316</v>
      </c>
      <c r="B317" t="s">
        <v>10</v>
      </c>
      <c r="C317" t="s">
        <v>9</v>
      </c>
      <c r="D317">
        <v>1494.54</v>
      </c>
      <c r="E317">
        <v>301</v>
      </c>
      <c r="F317">
        <v>1.4</v>
      </c>
      <c r="G317" t="b">
        <v>1</v>
      </c>
      <c r="H317">
        <f>(Table1[[#This Row],[price]]*Table1[[#This Row],[units_sold]])</f>
        <v>449856.54</v>
      </c>
      <c r="I317" t="str">
        <f>IF(Table1[[#This Row],[in_stock]]=TRUE,"Available","Out of stock")</f>
        <v>Available</v>
      </c>
      <c r="J317" t="str">
        <f>IF(Table1[[#This Row],[rating]]&gt;=4,"High",IF(Table1[[#This Row],[rating]]&gt;=2.5,"Medium","Low"))</f>
        <v>Low</v>
      </c>
      <c r="K317" t="str">
        <f>IF(Table1[[#This Row],[price]]&lt;200,"Budget",IF(Table1[[#This Row],[price]]&lt;600,"Mid-Range",IF(Table1[[#This Row],[price]]&lt;1000,"Premium","Luxury")))</f>
        <v>Luxury</v>
      </c>
      <c r="L317" t="str">
        <f>IF(Table1[[#This Row],[units_sold]]&lt;50,"Very Low",IF(Table1[[#This Row],[units_sold]]&lt;150,"Low",IF(Table1[[#This Row],[units_sold]]&lt;300,"Medium","High")))</f>
        <v>High</v>
      </c>
      <c r="M317" t="str">
        <f t="shared" si="9"/>
        <v>Normal</v>
      </c>
      <c r="N317">
        <f>(Table1[[#This Row],[price]]*0.7)</f>
        <v>1046.1779999999999</v>
      </c>
    </row>
    <row r="318" spans="1:14" x14ac:dyDescent="0.35">
      <c r="A318" t="str">
        <f t="shared" si="8"/>
        <v>P317</v>
      </c>
      <c r="B318" t="s">
        <v>13</v>
      </c>
      <c r="C318" t="s">
        <v>9</v>
      </c>
      <c r="D318">
        <v>1347.18</v>
      </c>
      <c r="E318">
        <v>161</v>
      </c>
      <c r="F318">
        <v>3.7</v>
      </c>
      <c r="G318" t="b">
        <v>0</v>
      </c>
      <c r="H318">
        <f>(Table1[[#This Row],[price]]*Table1[[#This Row],[units_sold]])</f>
        <v>216895.98</v>
      </c>
      <c r="I318" t="str">
        <f>IF(Table1[[#This Row],[in_stock]]=TRUE,"Available","Out of stock")</f>
        <v>Out of stock</v>
      </c>
      <c r="J318" t="str">
        <f>IF(Table1[[#This Row],[rating]]&gt;=4,"High",IF(Table1[[#This Row],[rating]]&gt;=2.5,"Medium","Low"))</f>
        <v>Medium</v>
      </c>
      <c r="K318" t="str">
        <f>IF(Table1[[#This Row],[price]]&lt;200,"Budget",IF(Table1[[#This Row],[price]]&lt;600,"Mid-Range",IF(Table1[[#This Row],[price]]&lt;1000,"Premium","Luxury")))</f>
        <v>Luxury</v>
      </c>
      <c r="L318" t="str">
        <f>IF(Table1[[#This Row],[units_sold]]&lt;50,"Very Low",IF(Table1[[#This Row],[units_sold]]&lt;150,"Low",IF(Table1[[#This Row],[units_sold]]&lt;300,"Medium","High")))</f>
        <v>Medium</v>
      </c>
      <c r="M318" t="str">
        <f t="shared" si="9"/>
        <v>Normal</v>
      </c>
      <c r="N318">
        <f>(Table1[[#This Row],[price]]*0.7)</f>
        <v>943.02599999999995</v>
      </c>
    </row>
    <row r="319" spans="1:14" x14ac:dyDescent="0.35">
      <c r="A319" t="str">
        <f t="shared" si="8"/>
        <v>P318</v>
      </c>
      <c r="B319" t="s">
        <v>6</v>
      </c>
      <c r="C319" t="s">
        <v>7</v>
      </c>
      <c r="D319">
        <v>700.44</v>
      </c>
      <c r="E319">
        <v>401</v>
      </c>
      <c r="F319">
        <v>3</v>
      </c>
      <c r="G319" t="b">
        <v>1</v>
      </c>
      <c r="H319">
        <f>(Table1[[#This Row],[price]]*Table1[[#This Row],[units_sold]])</f>
        <v>280876.44</v>
      </c>
      <c r="I319" t="str">
        <f>IF(Table1[[#This Row],[in_stock]]=TRUE,"Available","Out of stock")</f>
        <v>Available</v>
      </c>
      <c r="J319" t="str">
        <f>IF(Table1[[#This Row],[rating]]&gt;=4,"High",IF(Table1[[#This Row],[rating]]&gt;=2.5,"Medium","Low"))</f>
        <v>Medium</v>
      </c>
      <c r="K319" t="str">
        <f>IF(Table1[[#This Row],[price]]&lt;200,"Budget",IF(Table1[[#This Row],[price]]&lt;600,"Mid-Range",IF(Table1[[#This Row],[price]]&lt;1000,"Premium","Luxury")))</f>
        <v>Premium</v>
      </c>
      <c r="L319" t="str">
        <f>IF(Table1[[#This Row],[units_sold]]&lt;50,"Very Low",IF(Table1[[#This Row],[units_sold]]&lt;150,"Low",IF(Table1[[#This Row],[units_sold]]&lt;300,"Medium","High")))</f>
        <v>High</v>
      </c>
      <c r="M319" t="str">
        <f t="shared" si="9"/>
        <v>Normal</v>
      </c>
      <c r="N319">
        <f>(Table1[[#This Row],[price]]*0.7)</f>
        <v>490.30799999999999</v>
      </c>
    </row>
    <row r="320" spans="1:14" x14ac:dyDescent="0.35">
      <c r="A320" t="str">
        <f t="shared" si="8"/>
        <v>P319</v>
      </c>
      <c r="B320" t="s">
        <v>6</v>
      </c>
      <c r="C320" t="s">
        <v>7</v>
      </c>
      <c r="D320">
        <v>938.18</v>
      </c>
      <c r="E320">
        <v>198</v>
      </c>
      <c r="F320">
        <v>2.6</v>
      </c>
      <c r="G320" t="b">
        <v>1</v>
      </c>
      <c r="H320">
        <f>(Table1[[#This Row],[price]]*Table1[[#This Row],[units_sold]])</f>
        <v>185759.63999999998</v>
      </c>
      <c r="I320" t="str">
        <f>IF(Table1[[#This Row],[in_stock]]=TRUE,"Available","Out of stock")</f>
        <v>Available</v>
      </c>
      <c r="J320" t="str">
        <f>IF(Table1[[#This Row],[rating]]&gt;=4,"High",IF(Table1[[#This Row],[rating]]&gt;=2.5,"Medium","Low"))</f>
        <v>Medium</v>
      </c>
      <c r="K320" t="str">
        <f>IF(Table1[[#This Row],[price]]&lt;200,"Budget",IF(Table1[[#This Row],[price]]&lt;600,"Mid-Range",IF(Table1[[#This Row],[price]]&lt;1000,"Premium","Luxury")))</f>
        <v>Premium</v>
      </c>
      <c r="L320" t="str">
        <f>IF(Table1[[#This Row],[units_sold]]&lt;50,"Very Low",IF(Table1[[#This Row],[units_sold]]&lt;150,"Low",IF(Table1[[#This Row],[units_sold]]&lt;300,"Medium","High")))</f>
        <v>Medium</v>
      </c>
      <c r="M320" t="str">
        <f t="shared" si="9"/>
        <v>Normal</v>
      </c>
      <c r="N320">
        <f>(Table1[[#This Row],[price]]*0.7)</f>
        <v>656.72599999999989</v>
      </c>
    </row>
    <row r="321" spans="1:14" x14ac:dyDescent="0.35">
      <c r="A321" t="str">
        <f t="shared" si="8"/>
        <v>P320</v>
      </c>
      <c r="B321" t="s">
        <v>11</v>
      </c>
      <c r="C321" t="s">
        <v>9</v>
      </c>
      <c r="D321">
        <v>1124.33</v>
      </c>
      <c r="E321">
        <v>260</v>
      </c>
      <c r="F321">
        <v>3.5</v>
      </c>
      <c r="G321" t="b">
        <v>1</v>
      </c>
      <c r="H321">
        <f>(Table1[[#This Row],[price]]*Table1[[#This Row],[units_sold]])</f>
        <v>292325.8</v>
      </c>
      <c r="I321" t="str">
        <f>IF(Table1[[#This Row],[in_stock]]=TRUE,"Available","Out of stock")</f>
        <v>Available</v>
      </c>
      <c r="J321" t="str">
        <f>IF(Table1[[#This Row],[rating]]&gt;=4,"High",IF(Table1[[#This Row],[rating]]&gt;=2.5,"Medium","Low"))</f>
        <v>Medium</v>
      </c>
      <c r="K321" t="str">
        <f>IF(Table1[[#This Row],[price]]&lt;200,"Budget",IF(Table1[[#This Row],[price]]&lt;600,"Mid-Range",IF(Table1[[#This Row],[price]]&lt;1000,"Premium","Luxury")))</f>
        <v>Luxury</v>
      </c>
      <c r="L321" t="str">
        <f>IF(Table1[[#This Row],[units_sold]]&lt;50,"Very Low",IF(Table1[[#This Row],[units_sold]]&lt;150,"Low",IF(Table1[[#This Row],[units_sold]]&lt;300,"Medium","High")))</f>
        <v>Medium</v>
      </c>
      <c r="M321" t="str">
        <f t="shared" si="9"/>
        <v>Normal</v>
      </c>
      <c r="N321">
        <f>(Table1[[#This Row],[price]]*0.7)</f>
        <v>787.03099999999995</v>
      </c>
    </row>
    <row r="322" spans="1:14" x14ac:dyDescent="0.35">
      <c r="A322" t="str">
        <f t="shared" ref="A322:A385" si="10">"P"&amp;TEXT(ROW()-1,"000")</f>
        <v>P321</v>
      </c>
      <c r="B322" t="s">
        <v>15</v>
      </c>
      <c r="C322" t="s">
        <v>7</v>
      </c>
      <c r="D322">
        <v>61.95</v>
      </c>
      <c r="E322">
        <v>148</v>
      </c>
      <c r="F322">
        <v>3.8</v>
      </c>
      <c r="G322" t="b">
        <v>1</v>
      </c>
      <c r="H322">
        <f>(Table1[[#This Row],[price]]*Table1[[#This Row],[units_sold]])</f>
        <v>9168.6</v>
      </c>
      <c r="I322" t="str">
        <f>IF(Table1[[#This Row],[in_stock]]=TRUE,"Available","Out of stock")</f>
        <v>Available</v>
      </c>
      <c r="J322" t="str">
        <f>IF(Table1[[#This Row],[rating]]&gt;=4,"High",IF(Table1[[#This Row],[rating]]&gt;=2.5,"Medium","Low"))</f>
        <v>Medium</v>
      </c>
      <c r="K322" t="str">
        <f>IF(Table1[[#This Row],[price]]&lt;200,"Budget",IF(Table1[[#This Row],[price]]&lt;600,"Mid-Range",IF(Table1[[#This Row],[price]]&lt;1000,"Premium","Luxury")))</f>
        <v>Budget</v>
      </c>
      <c r="L322" t="str">
        <f>IF(Table1[[#This Row],[units_sold]]&lt;50,"Very Low",IF(Table1[[#This Row],[units_sold]]&lt;150,"Low",IF(Table1[[#This Row],[units_sold]]&lt;300,"Medium","High")))</f>
        <v>Low</v>
      </c>
      <c r="M322" t="str">
        <f t="shared" ref="M322:M385" si="11">IF(AND(E322&gt;300,G322=FALSE),"High Demand - Out of Stock","Normal")</f>
        <v>Normal</v>
      </c>
      <c r="N322">
        <f>(Table1[[#This Row],[price]]*0.7)</f>
        <v>43.365000000000002</v>
      </c>
    </row>
    <row r="323" spans="1:14" x14ac:dyDescent="0.35">
      <c r="A323" t="str">
        <f t="shared" si="10"/>
        <v>P322</v>
      </c>
      <c r="B323" t="s">
        <v>14</v>
      </c>
      <c r="C323" t="s">
        <v>9</v>
      </c>
      <c r="D323">
        <v>1343.43</v>
      </c>
      <c r="E323">
        <v>240</v>
      </c>
      <c r="F323">
        <v>1</v>
      </c>
      <c r="G323" t="b">
        <v>1</v>
      </c>
      <c r="H323">
        <f>(Table1[[#This Row],[price]]*Table1[[#This Row],[units_sold]])</f>
        <v>322423.2</v>
      </c>
      <c r="I323" t="str">
        <f>IF(Table1[[#This Row],[in_stock]]=TRUE,"Available","Out of stock")</f>
        <v>Available</v>
      </c>
      <c r="J323" t="str">
        <f>IF(Table1[[#This Row],[rating]]&gt;=4,"High",IF(Table1[[#This Row],[rating]]&gt;=2.5,"Medium","Low"))</f>
        <v>Low</v>
      </c>
      <c r="K323" t="str">
        <f>IF(Table1[[#This Row],[price]]&lt;200,"Budget",IF(Table1[[#This Row],[price]]&lt;600,"Mid-Range",IF(Table1[[#This Row],[price]]&lt;1000,"Premium","Luxury")))</f>
        <v>Luxury</v>
      </c>
      <c r="L323" t="str">
        <f>IF(Table1[[#This Row],[units_sold]]&lt;50,"Very Low",IF(Table1[[#This Row],[units_sold]]&lt;150,"Low",IF(Table1[[#This Row],[units_sold]]&lt;300,"Medium","High")))</f>
        <v>Medium</v>
      </c>
      <c r="M323" t="str">
        <f t="shared" si="11"/>
        <v>Normal</v>
      </c>
      <c r="N323">
        <f>(Table1[[#This Row],[price]]*0.7)</f>
        <v>940.40099999999995</v>
      </c>
    </row>
    <row r="324" spans="1:14" x14ac:dyDescent="0.35">
      <c r="A324" t="str">
        <f t="shared" si="10"/>
        <v>P323</v>
      </c>
      <c r="B324" t="s">
        <v>11</v>
      </c>
      <c r="C324" t="s">
        <v>9</v>
      </c>
      <c r="D324">
        <v>1291.5899999999999</v>
      </c>
      <c r="E324">
        <v>47</v>
      </c>
      <c r="F324">
        <v>1.7</v>
      </c>
      <c r="G324" t="b">
        <v>1</v>
      </c>
      <c r="H324">
        <f>(Table1[[#This Row],[price]]*Table1[[#This Row],[units_sold]])</f>
        <v>60704.729999999996</v>
      </c>
      <c r="I324" t="str">
        <f>IF(Table1[[#This Row],[in_stock]]=TRUE,"Available","Out of stock")</f>
        <v>Available</v>
      </c>
      <c r="J324" t="str">
        <f>IF(Table1[[#This Row],[rating]]&gt;=4,"High",IF(Table1[[#This Row],[rating]]&gt;=2.5,"Medium","Low"))</f>
        <v>Low</v>
      </c>
      <c r="K324" t="str">
        <f>IF(Table1[[#This Row],[price]]&lt;200,"Budget",IF(Table1[[#This Row],[price]]&lt;600,"Mid-Range",IF(Table1[[#This Row],[price]]&lt;1000,"Premium","Luxury")))</f>
        <v>Luxury</v>
      </c>
      <c r="L324" t="str">
        <f>IF(Table1[[#This Row],[units_sold]]&lt;50,"Very Low",IF(Table1[[#This Row],[units_sold]]&lt;150,"Low",IF(Table1[[#This Row],[units_sold]]&lt;300,"Medium","High")))</f>
        <v>Very Low</v>
      </c>
      <c r="M324" t="str">
        <f t="shared" si="11"/>
        <v>Normal</v>
      </c>
      <c r="N324">
        <f>(Table1[[#This Row],[price]]*0.7)</f>
        <v>904.11299999999983</v>
      </c>
    </row>
    <row r="325" spans="1:14" x14ac:dyDescent="0.35">
      <c r="A325" t="str">
        <f t="shared" si="10"/>
        <v>P324</v>
      </c>
      <c r="B325" t="s">
        <v>10</v>
      </c>
      <c r="C325" t="s">
        <v>9</v>
      </c>
      <c r="D325">
        <v>691.57</v>
      </c>
      <c r="E325">
        <v>475</v>
      </c>
      <c r="F325">
        <v>3.9</v>
      </c>
      <c r="G325" t="b">
        <v>1</v>
      </c>
      <c r="H325">
        <f>(Table1[[#This Row],[price]]*Table1[[#This Row],[units_sold]])</f>
        <v>328495.75</v>
      </c>
      <c r="I325" t="str">
        <f>IF(Table1[[#This Row],[in_stock]]=TRUE,"Available","Out of stock")</f>
        <v>Available</v>
      </c>
      <c r="J325" t="str">
        <f>IF(Table1[[#This Row],[rating]]&gt;=4,"High",IF(Table1[[#This Row],[rating]]&gt;=2.5,"Medium","Low"))</f>
        <v>Medium</v>
      </c>
      <c r="K325" t="str">
        <f>IF(Table1[[#This Row],[price]]&lt;200,"Budget",IF(Table1[[#This Row],[price]]&lt;600,"Mid-Range",IF(Table1[[#This Row],[price]]&lt;1000,"Premium","Luxury")))</f>
        <v>Premium</v>
      </c>
      <c r="L325" t="str">
        <f>IF(Table1[[#This Row],[units_sold]]&lt;50,"Very Low",IF(Table1[[#This Row],[units_sold]]&lt;150,"Low",IF(Table1[[#This Row],[units_sold]]&lt;300,"Medium","High")))</f>
        <v>High</v>
      </c>
      <c r="M325" t="str">
        <f t="shared" si="11"/>
        <v>Normal</v>
      </c>
      <c r="N325">
        <f>(Table1[[#This Row],[price]]*0.7)</f>
        <v>484.09899999999999</v>
      </c>
    </row>
    <row r="326" spans="1:14" x14ac:dyDescent="0.35">
      <c r="A326" t="str">
        <f t="shared" si="10"/>
        <v>P325</v>
      </c>
      <c r="B326" t="s">
        <v>11</v>
      </c>
      <c r="C326" t="s">
        <v>9</v>
      </c>
      <c r="D326">
        <v>592.84</v>
      </c>
      <c r="E326">
        <v>399</v>
      </c>
      <c r="F326">
        <v>3.7</v>
      </c>
      <c r="G326" t="b">
        <v>1</v>
      </c>
      <c r="H326">
        <f>(Table1[[#This Row],[price]]*Table1[[#This Row],[units_sold]])</f>
        <v>236543.16</v>
      </c>
      <c r="I326" t="str">
        <f>IF(Table1[[#This Row],[in_stock]]=TRUE,"Available","Out of stock")</f>
        <v>Available</v>
      </c>
      <c r="J326" t="str">
        <f>IF(Table1[[#This Row],[rating]]&gt;=4,"High",IF(Table1[[#This Row],[rating]]&gt;=2.5,"Medium","Low"))</f>
        <v>Medium</v>
      </c>
      <c r="K326" t="str">
        <f>IF(Table1[[#This Row],[price]]&lt;200,"Budget",IF(Table1[[#This Row],[price]]&lt;600,"Mid-Range",IF(Table1[[#This Row],[price]]&lt;1000,"Premium","Luxury")))</f>
        <v>Mid-Range</v>
      </c>
      <c r="L326" t="str">
        <f>IF(Table1[[#This Row],[units_sold]]&lt;50,"Very Low",IF(Table1[[#This Row],[units_sold]]&lt;150,"Low",IF(Table1[[#This Row],[units_sold]]&lt;300,"Medium","High")))</f>
        <v>High</v>
      </c>
      <c r="M326" t="str">
        <f t="shared" si="11"/>
        <v>Normal</v>
      </c>
      <c r="N326">
        <f>(Table1[[#This Row],[price]]*0.7)</f>
        <v>414.988</v>
      </c>
    </row>
    <row r="327" spans="1:14" x14ac:dyDescent="0.35">
      <c r="A327" t="str">
        <f t="shared" si="10"/>
        <v>P326</v>
      </c>
      <c r="B327" t="s">
        <v>10</v>
      </c>
      <c r="C327" t="s">
        <v>9</v>
      </c>
      <c r="D327">
        <v>416.71</v>
      </c>
      <c r="E327">
        <v>198</v>
      </c>
      <c r="F327">
        <v>4.9000000000000004</v>
      </c>
      <c r="G327" t="b">
        <v>0</v>
      </c>
      <c r="H327">
        <f>(Table1[[#This Row],[price]]*Table1[[#This Row],[units_sold]])</f>
        <v>82508.58</v>
      </c>
      <c r="I327" t="str">
        <f>IF(Table1[[#This Row],[in_stock]]=TRUE,"Available","Out of stock")</f>
        <v>Out of stock</v>
      </c>
      <c r="J327" t="str">
        <f>IF(Table1[[#This Row],[rating]]&gt;=4,"High",IF(Table1[[#This Row],[rating]]&gt;=2.5,"Medium","Low"))</f>
        <v>High</v>
      </c>
      <c r="K327" t="str">
        <f>IF(Table1[[#This Row],[price]]&lt;200,"Budget",IF(Table1[[#This Row],[price]]&lt;600,"Mid-Range",IF(Table1[[#This Row],[price]]&lt;1000,"Premium","Luxury")))</f>
        <v>Mid-Range</v>
      </c>
      <c r="L327" t="str">
        <f>IF(Table1[[#This Row],[units_sold]]&lt;50,"Very Low",IF(Table1[[#This Row],[units_sold]]&lt;150,"Low",IF(Table1[[#This Row],[units_sold]]&lt;300,"Medium","High")))</f>
        <v>Medium</v>
      </c>
      <c r="M327" t="str">
        <f t="shared" si="11"/>
        <v>Normal</v>
      </c>
      <c r="N327">
        <f>(Table1[[#This Row],[price]]*0.7)</f>
        <v>291.69699999999995</v>
      </c>
    </row>
    <row r="328" spans="1:14" x14ac:dyDescent="0.35">
      <c r="A328" t="str">
        <f t="shared" si="10"/>
        <v>P327</v>
      </c>
      <c r="B328" t="s">
        <v>16</v>
      </c>
      <c r="C328" t="s">
        <v>9</v>
      </c>
      <c r="D328">
        <v>720.25</v>
      </c>
      <c r="E328">
        <v>47</v>
      </c>
      <c r="F328">
        <v>4</v>
      </c>
      <c r="G328" t="b">
        <v>1</v>
      </c>
      <c r="H328">
        <f>(Table1[[#This Row],[price]]*Table1[[#This Row],[units_sold]])</f>
        <v>33851.75</v>
      </c>
      <c r="I328" t="str">
        <f>IF(Table1[[#This Row],[in_stock]]=TRUE,"Available","Out of stock")</f>
        <v>Available</v>
      </c>
      <c r="J328" t="str">
        <f>IF(Table1[[#This Row],[rating]]&gt;=4,"High",IF(Table1[[#This Row],[rating]]&gt;=2.5,"Medium","Low"))</f>
        <v>High</v>
      </c>
      <c r="K328" t="str">
        <f>IF(Table1[[#This Row],[price]]&lt;200,"Budget",IF(Table1[[#This Row],[price]]&lt;600,"Mid-Range",IF(Table1[[#This Row],[price]]&lt;1000,"Premium","Luxury")))</f>
        <v>Premium</v>
      </c>
      <c r="L328" t="str">
        <f>IF(Table1[[#This Row],[units_sold]]&lt;50,"Very Low",IF(Table1[[#This Row],[units_sold]]&lt;150,"Low",IF(Table1[[#This Row],[units_sold]]&lt;300,"Medium","High")))</f>
        <v>Very Low</v>
      </c>
      <c r="M328" t="str">
        <f t="shared" si="11"/>
        <v>Normal</v>
      </c>
      <c r="N328">
        <f>(Table1[[#This Row],[price]]*0.7)</f>
        <v>504.17499999999995</v>
      </c>
    </row>
    <row r="329" spans="1:14" x14ac:dyDescent="0.35">
      <c r="A329" t="str">
        <f t="shared" si="10"/>
        <v>P328</v>
      </c>
      <c r="B329" t="s">
        <v>6</v>
      </c>
      <c r="C329" t="s">
        <v>7</v>
      </c>
      <c r="D329">
        <v>76.12</v>
      </c>
      <c r="E329">
        <v>78</v>
      </c>
      <c r="F329">
        <v>4.8</v>
      </c>
      <c r="G329" t="b">
        <v>1</v>
      </c>
      <c r="H329">
        <f>(Table1[[#This Row],[price]]*Table1[[#This Row],[units_sold]])</f>
        <v>5937.3600000000006</v>
      </c>
      <c r="I329" t="str">
        <f>IF(Table1[[#This Row],[in_stock]]=TRUE,"Available","Out of stock")</f>
        <v>Available</v>
      </c>
      <c r="J329" t="str">
        <f>IF(Table1[[#This Row],[rating]]&gt;=4,"High",IF(Table1[[#This Row],[rating]]&gt;=2.5,"Medium","Low"))</f>
        <v>High</v>
      </c>
      <c r="K329" t="str">
        <f>IF(Table1[[#This Row],[price]]&lt;200,"Budget",IF(Table1[[#This Row],[price]]&lt;600,"Mid-Range",IF(Table1[[#This Row],[price]]&lt;1000,"Premium","Luxury")))</f>
        <v>Budget</v>
      </c>
      <c r="L329" t="str">
        <f>IF(Table1[[#This Row],[units_sold]]&lt;50,"Very Low",IF(Table1[[#This Row],[units_sold]]&lt;150,"Low",IF(Table1[[#This Row],[units_sold]]&lt;300,"Medium","High")))</f>
        <v>Low</v>
      </c>
      <c r="M329" t="str">
        <f t="shared" si="11"/>
        <v>Normal</v>
      </c>
      <c r="N329">
        <f>(Table1[[#This Row],[price]]*0.7)</f>
        <v>53.283999999999999</v>
      </c>
    </row>
    <row r="330" spans="1:14" x14ac:dyDescent="0.35">
      <c r="A330" t="str">
        <f t="shared" si="10"/>
        <v>P329</v>
      </c>
      <c r="B330" t="s">
        <v>16</v>
      </c>
      <c r="C330" t="s">
        <v>9</v>
      </c>
      <c r="D330">
        <v>1279.77</v>
      </c>
      <c r="E330">
        <v>124</v>
      </c>
      <c r="F330">
        <v>3.8</v>
      </c>
      <c r="G330" t="b">
        <v>1</v>
      </c>
      <c r="H330">
        <f>(Table1[[#This Row],[price]]*Table1[[#This Row],[units_sold]])</f>
        <v>158691.48000000001</v>
      </c>
      <c r="I330" t="str">
        <f>IF(Table1[[#This Row],[in_stock]]=TRUE,"Available","Out of stock")</f>
        <v>Available</v>
      </c>
      <c r="J330" t="str">
        <f>IF(Table1[[#This Row],[rating]]&gt;=4,"High",IF(Table1[[#This Row],[rating]]&gt;=2.5,"Medium","Low"))</f>
        <v>Medium</v>
      </c>
      <c r="K330" t="str">
        <f>IF(Table1[[#This Row],[price]]&lt;200,"Budget",IF(Table1[[#This Row],[price]]&lt;600,"Mid-Range",IF(Table1[[#This Row],[price]]&lt;1000,"Premium","Luxury")))</f>
        <v>Luxury</v>
      </c>
      <c r="L330" t="str">
        <f>IF(Table1[[#This Row],[units_sold]]&lt;50,"Very Low",IF(Table1[[#This Row],[units_sold]]&lt;150,"Low",IF(Table1[[#This Row],[units_sold]]&lt;300,"Medium","High")))</f>
        <v>Low</v>
      </c>
      <c r="M330" t="str">
        <f t="shared" si="11"/>
        <v>Normal</v>
      </c>
      <c r="N330">
        <f>(Table1[[#This Row],[price]]*0.7)</f>
        <v>895.83899999999994</v>
      </c>
    </row>
    <row r="331" spans="1:14" x14ac:dyDescent="0.35">
      <c r="A331" t="str">
        <f t="shared" si="10"/>
        <v>P330</v>
      </c>
      <c r="B331" t="s">
        <v>8</v>
      </c>
      <c r="C331" t="s">
        <v>9</v>
      </c>
      <c r="D331">
        <v>62.78</v>
      </c>
      <c r="E331">
        <v>75</v>
      </c>
      <c r="F331">
        <v>2.2000000000000002</v>
      </c>
      <c r="G331" t="b">
        <v>1</v>
      </c>
      <c r="H331">
        <f>(Table1[[#This Row],[price]]*Table1[[#This Row],[units_sold]])</f>
        <v>4708.5</v>
      </c>
      <c r="I331" t="str">
        <f>IF(Table1[[#This Row],[in_stock]]=TRUE,"Available","Out of stock")</f>
        <v>Available</v>
      </c>
      <c r="J331" t="str">
        <f>IF(Table1[[#This Row],[rating]]&gt;=4,"High",IF(Table1[[#This Row],[rating]]&gt;=2.5,"Medium","Low"))</f>
        <v>Low</v>
      </c>
      <c r="K331" t="str">
        <f>IF(Table1[[#This Row],[price]]&lt;200,"Budget",IF(Table1[[#This Row],[price]]&lt;600,"Mid-Range",IF(Table1[[#This Row],[price]]&lt;1000,"Premium","Luxury")))</f>
        <v>Budget</v>
      </c>
      <c r="L331" t="str">
        <f>IF(Table1[[#This Row],[units_sold]]&lt;50,"Very Low",IF(Table1[[#This Row],[units_sold]]&lt;150,"Low",IF(Table1[[#This Row],[units_sold]]&lt;300,"Medium","High")))</f>
        <v>Low</v>
      </c>
      <c r="M331" t="str">
        <f t="shared" si="11"/>
        <v>Normal</v>
      </c>
      <c r="N331">
        <f>(Table1[[#This Row],[price]]*0.7)</f>
        <v>43.945999999999998</v>
      </c>
    </row>
    <row r="332" spans="1:14" x14ac:dyDescent="0.35">
      <c r="A332" t="str">
        <f t="shared" si="10"/>
        <v>P331</v>
      </c>
      <c r="B332" t="s">
        <v>15</v>
      </c>
      <c r="C332" t="s">
        <v>7</v>
      </c>
      <c r="D332">
        <v>500.29</v>
      </c>
      <c r="E332">
        <v>359</v>
      </c>
      <c r="F332">
        <v>1.4</v>
      </c>
      <c r="G332" t="b">
        <v>0</v>
      </c>
      <c r="H332">
        <f>(Table1[[#This Row],[price]]*Table1[[#This Row],[units_sold]])</f>
        <v>179604.11000000002</v>
      </c>
      <c r="I332" t="str">
        <f>IF(Table1[[#This Row],[in_stock]]=TRUE,"Available","Out of stock")</f>
        <v>Out of stock</v>
      </c>
      <c r="J332" t="str">
        <f>IF(Table1[[#This Row],[rating]]&gt;=4,"High",IF(Table1[[#This Row],[rating]]&gt;=2.5,"Medium","Low"))</f>
        <v>Low</v>
      </c>
      <c r="K332" t="str">
        <f>IF(Table1[[#This Row],[price]]&lt;200,"Budget",IF(Table1[[#This Row],[price]]&lt;600,"Mid-Range",IF(Table1[[#This Row],[price]]&lt;1000,"Premium","Luxury")))</f>
        <v>Mid-Range</v>
      </c>
      <c r="L332" t="str">
        <f>IF(Table1[[#This Row],[units_sold]]&lt;50,"Very Low",IF(Table1[[#This Row],[units_sold]]&lt;150,"Low",IF(Table1[[#This Row],[units_sold]]&lt;300,"Medium","High")))</f>
        <v>High</v>
      </c>
      <c r="M332" t="str">
        <f t="shared" si="11"/>
        <v>High Demand - Out of Stock</v>
      </c>
      <c r="N332">
        <f>(Table1[[#This Row],[price]]*0.7)</f>
        <v>350.20299999999997</v>
      </c>
    </row>
    <row r="333" spans="1:14" x14ac:dyDescent="0.35">
      <c r="A333" t="str">
        <f t="shared" si="10"/>
        <v>P332</v>
      </c>
      <c r="B333" t="s">
        <v>14</v>
      </c>
      <c r="C333" t="s">
        <v>9</v>
      </c>
      <c r="D333">
        <v>1398.07</v>
      </c>
      <c r="E333">
        <v>137</v>
      </c>
      <c r="F333">
        <v>4.0999999999999996</v>
      </c>
      <c r="G333" t="b">
        <v>1</v>
      </c>
      <c r="H333">
        <f>(Table1[[#This Row],[price]]*Table1[[#This Row],[units_sold]])</f>
        <v>191535.59</v>
      </c>
      <c r="I333" t="str">
        <f>IF(Table1[[#This Row],[in_stock]]=TRUE,"Available","Out of stock")</f>
        <v>Available</v>
      </c>
      <c r="J333" t="str">
        <f>IF(Table1[[#This Row],[rating]]&gt;=4,"High",IF(Table1[[#This Row],[rating]]&gt;=2.5,"Medium","Low"))</f>
        <v>High</v>
      </c>
      <c r="K333" t="str">
        <f>IF(Table1[[#This Row],[price]]&lt;200,"Budget",IF(Table1[[#This Row],[price]]&lt;600,"Mid-Range",IF(Table1[[#This Row],[price]]&lt;1000,"Premium","Luxury")))</f>
        <v>Luxury</v>
      </c>
      <c r="L333" t="str">
        <f>IF(Table1[[#This Row],[units_sold]]&lt;50,"Very Low",IF(Table1[[#This Row],[units_sold]]&lt;150,"Low",IF(Table1[[#This Row],[units_sold]]&lt;300,"Medium","High")))</f>
        <v>Low</v>
      </c>
      <c r="M333" t="str">
        <f t="shared" si="11"/>
        <v>Normal</v>
      </c>
      <c r="N333">
        <f>(Table1[[#This Row],[price]]*0.7)</f>
        <v>978.64899999999989</v>
      </c>
    </row>
    <row r="334" spans="1:14" x14ac:dyDescent="0.35">
      <c r="A334" t="str">
        <f t="shared" si="10"/>
        <v>P333</v>
      </c>
      <c r="B334" t="s">
        <v>10</v>
      </c>
      <c r="C334" t="s">
        <v>9</v>
      </c>
      <c r="D334">
        <v>1105.47</v>
      </c>
      <c r="E334">
        <v>90</v>
      </c>
      <c r="F334">
        <v>3.6</v>
      </c>
      <c r="G334" t="b">
        <v>1</v>
      </c>
      <c r="H334">
        <f>(Table1[[#This Row],[price]]*Table1[[#This Row],[units_sold]])</f>
        <v>99492.3</v>
      </c>
      <c r="I334" t="str">
        <f>IF(Table1[[#This Row],[in_stock]]=TRUE,"Available","Out of stock")</f>
        <v>Available</v>
      </c>
      <c r="J334" t="str">
        <f>IF(Table1[[#This Row],[rating]]&gt;=4,"High",IF(Table1[[#This Row],[rating]]&gt;=2.5,"Medium","Low"))</f>
        <v>Medium</v>
      </c>
      <c r="K334" t="str">
        <f>IF(Table1[[#This Row],[price]]&lt;200,"Budget",IF(Table1[[#This Row],[price]]&lt;600,"Mid-Range",IF(Table1[[#This Row],[price]]&lt;1000,"Premium","Luxury")))</f>
        <v>Luxury</v>
      </c>
      <c r="L334" t="str">
        <f>IF(Table1[[#This Row],[units_sold]]&lt;50,"Very Low",IF(Table1[[#This Row],[units_sold]]&lt;150,"Low",IF(Table1[[#This Row],[units_sold]]&lt;300,"Medium","High")))</f>
        <v>Low</v>
      </c>
      <c r="M334" t="str">
        <f t="shared" si="11"/>
        <v>Normal</v>
      </c>
      <c r="N334">
        <f>(Table1[[#This Row],[price]]*0.7)</f>
        <v>773.82899999999995</v>
      </c>
    </row>
    <row r="335" spans="1:14" x14ac:dyDescent="0.35">
      <c r="A335" t="str">
        <f t="shared" si="10"/>
        <v>P334</v>
      </c>
      <c r="B335" t="s">
        <v>14</v>
      </c>
      <c r="C335" t="s">
        <v>9</v>
      </c>
      <c r="D335">
        <v>429.27</v>
      </c>
      <c r="E335">
        <v>400</v>
      </c>
      <c r="F335">
        <v>1.2</v>
      </c>
      <c r="G335" t="b">
        <v>1</v>
      </c>
      <c r="H335">
        <f>(Table1[[#This Row],[price]]*Table1[[#This Row],[units_sold]])</f>
        <v>171708</v>
      </c>
      <c r="I335" t="str">
        <f>IF(Table1[[#This Row],[in_stock]]=TRUE,"Available","Out of stock")</f>
        <v>Available</v>
      </c>
      <c r="J335" t="str">
        <f>IF(Table1[[#This Row],[rating]]&gt;=4,"High",IF(Table1[[#This Row],[rating]]&gt;=2.5,"Medium","Low"))</f>
        <v>Low</v>
      </c>
      <c r="K335" t="str">
        <f>IF(Table1[[#This Row],[price]]&lt;200,"Budget",IF(Table1[[#This Row],[price]]&lt;600,"Mid-Range",IF(Table1[[#This Row],[price]]&lt;1000,"Premium","Luxury")))</f>
        <v>Mid-Range</v>
      </c>
      <c r="L335" t="str">
        <f>IF(Table1[[#This Row],[units_sold]]&lt;50,"Very Low",IF(Table1[[#This Row],[units_sold]]&lt;150,"Low",IF(Table1[[#This Row],[units_sold]]&lt;300,"Medium","High")))</f>
        <v>High</v>
      </c>
      <c r="M335" t="str">
        <f t="shared" si="11"/>
        <v>Normal</v>
      </c>
      <c r="N335">
        <f>(Table1[[#This Row],[price]]*0.7)</f>
        <v>300.48899999999998</v>
      </c>
    </row>
    <row r="336" spans="1:14" x14ac:dyDescent="0.35">
      <c r="A336" t="str">
        <f t="shared" si="10"/>
        <v>P335</v>
      </c>
      <c r="B336" t="s">
        <v>10</v>
      </c>
      <c r="C336" t="s">
        <v>9</v>
      </c>
      <c r="D336">
        <v>386.45</v>
      </c>
      <c r="E336">
        <v>325</v>
      </c>
      <c r="F336">
        <v>2.4</v>
      </c>
      <c r="G336" t="b">
        <v>1</v>
      </c>
      <c r="H336">
        <f>(Table1[[#This Row],[price]]*Table1[[#This Row],[units_sold]])</f>
        <v>125596.25</v>
      </c>
      <c r="I336" t="str">
        <f>IF(Table1[[#This Row],[in_stock]]=TRUE,"Available","Out of stock")</f>
        <v>Available</v>
      </c>
      <c r="J336" t="str">
        <f>IF(Table1[[#This Row],[rating]]&gt;=4,"High",IF(Table1[[#This Row],[rating]]&gt;=2.5,"Medium","Low"))</f>
        <v>Low</v>
      </c>
      <c r="K336" t="str">
        <f>IF(Table1[[#This Row],[price]]&lt;200,"Budget",IF(Table1[[#This Row],[price]]&lt;600,"Mid-Range",IF(Table1[[#This Row],[price]]&lt;1000,"Premium","Luxury")))</f>
        <v>Mid-Range</v>
      </c>
      <c r="L336" t="str">
        <f>IF(Table1[[#This Row],[units_sold]]&lt;50,"Very Low",IF(Table1[[#This Row],[units_sold]]&lt;150,"Low",IF(Table1[[#This Row],[units_sold]]&lt;300,"Medium","High")))</f>
        <v>High</v>
      </c>
      <c r="M336" t="str">
        <f t="shared" si="11"/>
        <v>Normal</v>
      </c>
      <c r="N336">
        <f>(Table1[[#This Row],[price]]*0.7)</f>
        <v>270.51499999999999</v>
      </c>
    </row>
    <row r="337" spans="1:14" x14ac:dyDescent="0.35">
      <c r="A337" t="str">
        <f t="shared" si="10"/>
        <v>P336</v>
      </c>
      <c r="B337" t="s">
        <v>13</v>
      </c>
      <c r="C337" t="s">
        <v>9</v>
      </c>
      <c r="D337">
        <v>17.57</v>
      </c>
      <c r="E337">
        <v>61</v>
      </c>
      <c r="F337">
        <v>4.8</v>
      </c>
      <c r="G337" t="b">
        <v>1</v>
      </c>
      <c r="H337">
        <f>(Table1[[#This Row],[price]]*Table1[[#This Row],[units_sold]])</f>
        <v>1071.77</v>
      </c>
      <c r="I337" t="str">
        <f>IF(Table1[[#This Row],[in_stock]]=TRUE,"Available","Out of stock")</f>
        <v>Available</v>
      </c>
      <c r="J337" t="str">
        <f>IF(Table1[[#This Row],[rating]]&gt;=4,"High",IF(Table1[[#This Row],[rating]]&gt;=2.5,"Medium","Low"))</f>
        <v>High</v>
      </c>
      <c r="K337" t="str">
        <f>IF(Table1[[#This Row],[price]]&lt;200,"Budget",IF(Table1[[#This Row],[price]]&lt;600,"Mid-Range",IF(Table1[[#This Row],[price]]&lt;1000,"Premium","Luxury")))</f>
        <v>Budget</v>
      </c>
      <c r="L337" t="str">
        <f>IF(Table1[[#This Row],[units_sold]]&lt;50,"Very Low",IF(Table1[[#This Row],[units_sold]]&lt;150,"Low",IF(Table1[[#This Row],[units_sold]]&lt;300,"Medium","High")))</f>
        <v>Low</v>
      </c>
      <c r="M337" t="str">
        <f t="shared" si="11"/>
        <v>Normal</v>
      </c>
      <c r="N337">
        <f>(Table1[[#This Row],[price]]*0.7)</f>
        <v>12.298999999999999</v>
      </c>
    </row>
    <row r="338" spans="1:14" x14ac:dyDescent="0.35">
      <c r="A338" t="str">
        <f t="shared" si="10"/>
        <v>P337</v>
      </c>
      <c r="B338" t="s">
        <v>11</v>
      </c>
      <c r="C338" t="s">
        <v>9</v>
      </c>
      <c r="D338">
        <v>1046.6099999999999</v>
      </c>
      <c r="E338">
        <v>138</v>
      </c>
      <c r="F338">
        <v>3</v>
      </c>
      <c r="G338" t="b">
        <v>1</v>
      </c>
      <c r="H338">
        <f>(Table1[[#This Row],[price]]*Table1[[#This Row],[units_sold]])</f>
        <v>144432.18</v>
      </c>
      <c r="I338" t="str">
        <f>IF(Table1[[#This Row],[in_stock]]=TRUE,"Available","Out of stock")</f>
        <v>Available</v>
      </c>
      <c r="J338" t="str">
        <f>IF(Table1[[#This Row],[rating]]&gt;=4,"High",IF(Table1[[#This Row],[rating]]&gt;=2.5,"Medium","Low"))</f>
        <v>Medium</v>
      </c>
      <c r="K338" t="str">
        <f>IF(Table1[[#This Row],[price]]&lt;200,"Budget",IF(Table1[[#This Row],[price]]&lt;600,"Mid-Range",IF(Table1[[#This Row],[price]]&lt;1000,"Premium","Luxury")))</f>
        <v>Luxury</v>
      </c>
      <c r="L338" t="str">
        <f>IF(Table1[[#This Row],[units_sold]]&lt;50,"Very Low",IF(Table1[[#This Row],[units_sold]]&lt;150,"Low",IF(Table1[[#This Row],[units_sold]]&lt;300,"Medium","High")))</f>
        <v>Low</v>
      </c>
      <c r="M338" t="str">
        <f t="shared" si="11"/>
        <v>Normal</v>
      </c>
      <c r="N338">
        <f>(Table1[[#This Row],[price]]*0.7)</f>
        <v>732.62699999999984</v>
      </c>
    </row>
    <row r="339" spans="1:14" x14ac:dyDescent="0.35">
      <c r="A339" t="str">
        <f t="shared" si="10"/>
        <v>P338</v>
      </c>
      <c r="B339" t="s">
        <v>8</v>
      </c>
      <c r="C339" t="s">
        <v>9</v>
      </c>
      <c r="D339">
        <v>82.69</v>
      </c>
      <c r="E339">
        <v>50</v>
      </c>
      <c r="F339">
        <v>2.7</v>
      </c>
      <c r="G339" t="b">
        <v>1</v>
      </c>
      <c r="H339">
        <f>(Table1[[#This Row],[price]]*Table1[[#This Row],[units_sold]])</f>
        <v>4134.5</v>
      </c>
      <c r="I339" t="str">
        <f>IF(Table1[[#This Row],[in_stock]]=TRUE,"Available","Out of stock")</f>
        <v>Available</v>
      </c>
      <c r="J339" t="str">
        <f>IF(Table1[[#This Row],[rating]]&gt;=4,"High",IF(Table1[[#This Row],[rating]]&gt;=2.5,"Medium","Low"))</f>
        <v>Medium</v>
      </c>
      <c r="K339" t="str">
        <f>IF(Table1[[#This Row],[price]]&lt;200,"Budget",IF(Table1[[#This Row],[price]]&lt;600,"Mid-Range",IF(Table1[[#This Row],[price]]&lt;1000,"Premium","Luxury")))</f>
        <v>Budget</v>
      </c>
      <c r="L339" t="str">
        <f>IF(Table1[[#This Row],[units_sold]]&lt;50,"Very Low",IF(Table1[[#This Row],[units_sold]]&lt;150,"Low",IF(Table1[[#This Row],[units_sold]]&lt;300,"Medium","High")))</f>
        <v>Low</v>
      </c>
      <c r="M339" t="str">
        <f t="shared" si="11"/>
        <v>Normal</v>
      </c>
      <c r="N339">
        <f>(Table1[[#This Row],[price]]*0.7)</f>
        <v>57.882999999999996</v>
      </c>
    </row>
    <row r="340" spans="1:14" x14ac:dyDescent="0.35">
      <c r="A340" t="str">
        <f t="shared" si="10"/>
        <v>P339</v>
      </c>
      <c r="B340" t="s">
        <v>6</v>
      </c>
      <c r="C340" t="s">
        <v>7</v>
      </c>
      <c r="D340">
        <v>803.58</v>
      </c>
      <c r="E340">
        <v>259</v>
      </c>
      <c r="F340">
        <v>2.8</v>
      </c>
      <c r="G340" t="b">
        <v>0</v>
      </c>
      <c r="H340">
        <f>(Table1[[#This Row],[price]]*Table1[[#This Row],[units_sold]])</f>
        <v>208127.22</v>
      </c>
      <c r="I340" t="str">
        <f>IF(Table1[[#This Row],[in_stock]]=TRUE,"Available","Out of stock")</f>
        <v>Out of stock</v>
      </c>
      <c r="J340" t="str">
        <f>IF(Table1[[#This Row],[rating]]&gt;=4,"High",IF(Table1[[#This Row],[rating]]&gt;=2.5,"Medium","Low"))</f>
        <v>Medium</v>
      </c>
      <c r="K340" t="str">
        <f>IF(Table1[[#This Row],[price]]&lt;200,"Budget",IF(Table1[[#This Row],[price]]&lt;600,"Mid-Range",IF(Table1[[#This Row],[price]]&lt;1000,"Premium","Luxury")))</f>
        <v>Premium</v>
      </c>
      <c r="L340" t="str">
        <f>IF(Table1[[#This Row],[units_sold]]&lt;50,"Very Low",IF(Table1[[#This Row],[units_sold]]&lt;150,"Low",IF(Table1[[#This Row],[units_sold]]&lt;300,"Medium","High")))</f>
        <v>Medium</v>
      </c>
      <c r="M340" t="str">
        <f t="shared" si="11"/>
        <v>Normal</v>
      </c>
      <c r="N340">
        <f>(Table1[[#This Row],[price]]*0.7)</f>
        <v>562.50599999999997</v>
      </c>
    </row>
    <row r="341" spans="1:14" x14ac:dyDescent="0.35">
      <c r="A341" t="str">
        <f t="shared" si="10"/>
        <v>P340</v>
      </c>
      <c r="B341" t="s">
        <v>10</v>
      </c>
      <c r="C341" t="s">
        <v>9</v>
      </c>
      <c r="D341">
        <v>1443.56</v>
      </c>
      <c r="E341">
        <v>461</v>
      </c>
      <c r="F341">
        <v>1.8</v>
      </c>
      <c r="G341" t="b">
        <v>1</v>
      </c>
      <c r="H341">
        <f>(Table1[[#This Row],[price]]*Table1[[#This Row],[units_sold]])</f>
        <v>665481.16</v>
      </c>
      <c r="I341" t="str">
        <f>IF(Table1[[#This Row],[in_stock]]=TRUE,"Available","Out of stock")</f>
        <v>Available</v>
      </c>
      <c r="J341" t="str">
        <f>IF(Table1[[#This Row],[rating]]&gt;=4,"High",IF(Table1[[#This Row],[rating]]&gt;=2.5,"Medium","Low"))</f>
        <v>Low</v>
      </c>
      <c r="K341" t="str">
        <f>IF(Table1[[#This Row],[price]]&lt;200,"Budget",IF(Table1[[#This Row],[price]]&lt;600,"Mid-Range",IF(Table1[[#This Row],[price]]&lt;1000,"Premium","Luxury")))</f>
        <v>Luxury</v>
      </c>
      <c r="L341" t="str">
        <f>IF(Table1[[#This Row],[units_sold]]&lt;50,"Very Low",IF(Table1[[#This Row],[units_sold]]&lt;150,"Low",IF(Table1[[#This Row],[units_sold]]&lt;300,"Medium","High")))</f>
        <v>High</v>
      </c>
      <c r="M341" t="str">
        <f t="shared" si="11"/>
        <v>Normal</v>
      </c>
      <c r="N341">
        <f>(Table1[[#This Row],[price]]*0.7)</f>
        <v>1010.4919999999998</v>
      </c>
    </row>
    <row r="342" spans="1:14" x14ac:dyDescent="0.35">
      <c r="A342" t="str">
        <f t="shared" si="10"/>
        <v>P341</v>
      </c>
      <c r="B342" t="s">
        <v>14</v>
      </c>
      <c r="C342" t="s">
        <v>9</v>
      </c>
      <c r="D342">
        <v>173.11</v>
      </c>
      <c r="E342">
        <v>107</v>
      </c>
      <c r="F342">
        <v>2.5</v>
      </c>
      <c r="G342" t="b">
        <v>1</v>
      </c>
      <c r="H342">
        <f>(Table1[[#This Row],[price]]*Table1[[#This Row],[units_sold]])</f>
        <v>18522.77</v>
      </c>
      <c r="I342" t="str">
        <f>IF(Table1[[#This Row],[in_stock]]=TRUE,"Available","Out of stock")</f>
        <v>Available</v>
      </c>
      <c r="J342" t="str">
        <f>IF(Table1[[#This Row],[rating]]&gt;=4,"High",IF(Table1[[#This Row],[rating]]&gt;=2.5,"Medium","Low"))</f>
        <v>Medium</v>
      </c>
      <c r="K342" t="str">
        <f>IF(Table1[[#This Row],[price]]&lt;200,"Budget",IF(Table1[[#This Row],[price]]&lt;600,"Mid-Range",IF(Table1[[#This Row],[price]]&lt;1000,"Premium","Luxury")))</f>
        <v>Budget</v>
      </c>
      <c r="L342" t="str">
        <f>IF(Table1[[#This Row],[units_sold]]&lt;50,"Very Low",IF(Table1[[#This Row],[units_sold]]&lt;150,"Low",IF(Table1[[#This Row],[units_sold]]&lt;300,"Medium","High")))</f>
        <v>Low</v>
      </c>
      <c r="M342" t="str">
        <f t="shared" si="11"/>
        <v>Normal</v>
      </c>
      <c r="N342">
        <f>(Table1[[#This Row],[price]]*0.7)</f>
        <v>121.17700000000001</v>
      </c>
    </row>
    <row r="343" spans="1:14" x14ac:dyDescent="0.35">
      <c r="A343" t="str">
        <f t="shared" si="10"/>
        <v>P342</v>
      </c>
      <c r="B343" t="s">
        <v>8</v>
      </c>
      <c r="C343" t="s">
        <v>9</v>
      </c>
      <c r="D343">
        <v>1342.78</v>
      </c>
      <c r="E343">
        <v>113</v>
      </c>
      <c r="F343">
        <v>2.5</v>
      </c>
      <c r="G343" t="b">
        <v>0</v>
      </c>
      <c r="H343">
        <f>(Table1[[#This Row],[price]]*Table1[[#This Row],[units_sold]])</f>
        <v>151734.13999999998</v>
      </c>
      <c r="I343" t="str">
        <f>IF(Table1[[#This Row],[in_stock]]=TRUE,"Available","Out of stock")</f>
        <v>Out of stock</v>
      </c>
      <c r="J343" t="str">
        <f>IF(Table1[[#This Row],[rating]]&gt;=4,"High",IF(Table1[[#This Row],[rating]]&gt;=2.5,"Medium","Low"))</f>
        <v>Medium</v>
      </c>
      <c r="K343" t="str">
        <f>IF(Table1[[#This Row],[price]]&lt;200,"Budget",IF(Table1[[#This Row],[price]]&lt;600,"Mid-Range",IF(Table1[[#This Row],[price]]&lt;1000,"Premium","Luxury")))</f>
        <v>Luxury</v>
      </c>
      <c r="L343" t="str">
        <f>IF(Table1[[#This Row],[units_sold]]&lt;50,"Very Low",IF(Table1[[#This Row],[units_sold]]&lt;150,"Low",IF(Table1[[#This Row],[units_sold]]&lt;300,"Medium","High")))</f>
        <v>Low</v>
      </c>
      <c r="M343" t="str">
        <f t="shared" si="11"/>
        <v>Normal</v>
      </c>
      <c r="N343">
        <f>(Table1[[#This Row],[price]]*0.7)</f>
        <v>939.94599999999991</v>
      </c>
    </row>
    <row r="344" spans="1:14" x14ac:dyDescent="0.35">
      <c r="A344" t="str">
        <f t="shared" si="10"/>
        <v>P343</v>
      </c>
      <c r="B344" t="s">
        <v>17</v>
      </c>
      <c r="C344" t="s">
        <v>7</v>
      </c>
      <c r="D344">
        <v>1487.3</v>
      </c>
      <c r="E344">
        <v>350</v>
      </c>
      <c r="F344">
        <v>1.2</v>
      </c>
      <c r="G344" t="b">
        <v>1</v>
      </c>
      <c r="H344">
        <f>(Table1[[#This Row],[price]]*Table1[[#This Row],[units_sold]])</f>
        <v>520555</v>
      </c>
      <c r="I344" t="str">
        <f>IF(Table1[[#This Row],[in_stock]]=TRUE,"Available","Out of stock")</f>
        <v>Available</v>
      </c>
      <c r="J344" t="str">
        <f>IF(Table1[[#This Row],[rating]]&gt;=4,"High",IF(Table1[[#This Row],[rating]]&gt;=2.5,"Medium","Low"))</f>
        <v>Low</v>
      </c>
      <c r="K344" t="str">
        <f>IF(Table1[[#This Row],[price]]&lt;200,"Budget",IF(Table1[[#This Row],[price]]&lt;600,"Mid-Range",IF(Table1[[#This Row],[price]]&lt;1000,"Premium","Luxury")))</f>
        <v>Luxury</v>
      </c>
      <c r="L344" t="str">
        <f>IF(Table1[[#This Row],[units_sold]]&lt;50,"Very Low",IF(Table1[[#This Row],[units_sold]]&lt;150,"Low",IF(Table1[[#This Row],[units_sold]]&lt;300,"Medium","High")))</f>
        <v>High</v>
      </c>
      <c r="M344" t="str">
        <f t="shared" si="11"/>
        <v>Normal</v>
      </c>
      <c r="N344">
        <f>(Table1[[#This Row],[price]]*0.7)</f>
        <v>1041.1099999999999</v>
      </c>
    </row>
    <row r="345" spans="1:14" x14ac:dyDescent="0.35">
      <c r="A345" t="str">
        <f t="shared" si="10"/>
        <v>P344</v>
      </c>
      <c r="B345" t="s">
        <v>17</v>
      </c>
      <c r="C345" t="s">
        <v>7</v>
      </c>
      <c r="D345">
        <v>101.66</v>
      </c>
      <c r="E345">
        <v>254</v>
      </c>
      <c r="F345">
        <v>4.0999999999999996</v>
      </c>
      <c r="G345" t="b">
        <v>1</v>
      </c>
      <c r="H345">
        <f>(Table1[[#This Row],[price]]*Table1[[#This Row],[units_sold]])</f>
        <v>25821.64</v>
      </c>
      <c r="I345" t="str">
        <f>IF(Table1[[#This Row],[in_stock]]=TRUE,"Available","Out of stock")</f>
        <v>Available</v>
      </c>
      <c r="J345" t="str">
        <f>IF(Table1[[#This Row],[rating]]&gt;=4,"High",IF(Table1[[#This Row],[rating]]&gt;=2.5,"Medium","Low"))</f>
        <v>High</v>
      </c>
      <c r="K345" t="str">
        <f>IF(Table1[[#This Row],[price]]&lt;200,"Budget",IF(Table1[[#This Row],[price]]&lt;600,"Mid-Range",IF(Table1[[#This Row],[price]]&lt;1000,"Premium","Luxury")))</f>
        <v>Budget</v>
      </c>
      <c r="L345" t="str">
        <f>IF(Table1[[#This Row],[units_sold]]&lt;50,"Very Low",IF(Table1[[#This Row],[units_sold]]&lt;150,"Low",IF(Table1[[#This Row],[units_sold]]&lt;300,"Medium","High")))</f>
        <v>Medium</v>
      </c>
      <c r="M345" t="str">
        <f t="shared" si="11"/>
        <v>Normal</v>
      </c>
      <c r="N345">
        <f>(Table1[[#This Row],[price]]*0.7)</f>
        <v>71.161999999999992</v>
      </c>
    </row>
    <row r="346" spans="1:14" x14ac:dyDescent="0.35">
      <c r="A346" t="str">
        <f t="shared" si="10"/>
        <v>P345</v>
      </c>
      <c r="B346" t="s">
        <v>16</v>
      </c>
      <c r="C346" t="s">
        <v>9</v>
      </c>
      <c r="D346">
        <v>1325.53</v>
      </c>
      <c r="E346">
        <v>118</v>
      </c>
      <c r="F346">
        <v>2.7</v>
      </c>
      <c r="G346" t="b">
        <v>1</v>
      </c>
      <c r="H346">
        <f>(Table1[[#This Row],[price]]*Table1[[#This Row],[units_sold]])</f>
        <v>156412.54</v>
      </c>
      <c r="I346" t="str">
        <f>IF(Table1[[#This Row],[in_stock]]=TRUE,"Available","Out of stock")</f>
        <v>Available</v>
      </c>
      <c r="J346" t="str">
        <f>IF(Table1[[#This Row],[rating]]&gt;=4,"High",IF(Table1[[#This Row],[rating]]&gt;=2.5,"Medium","Low"))</f>
        <v>Medium</v>
      </c>
      <c r="K346" t="str">
        <f>IF(Table1[[#This Row],[price]]&lt;200,"Budget",IF(Table1[[#This Row],[price]]&lt;600,"Mid-Range",IF(Table1[[#This Row],[price]]&lt;1000,"Premium","Luxury")))</f>
        <v>Luxury</v>
      </c>
      <c r="L346" t="str">
        <f>IF(Table1[[#This Row],[units_sold]]&lt;50,"Very Low",IF(Table1[[#This Row],[units_sold]]&lt;150,"Low",IF(Table1[[#This Row],[units_sold]]&lt;300,"Medium","High")))</f>
        <v>Low</v>
      </c>
      <c r="M346" t="str">
        <f t="shared" si="11"/>
        <v>Normal</v>
      </c>
      <c r="N346">
        <f>(Table1[[#This Row],[price]]*0.7)</f>
        <v>927.87099999999987</v>
      </c>
    </row>
    <row r="347" spans="1:14" x14ac:dyDescent="0.35">
      <c r="A347" t="str">
        <f t="shared" si="10"/>
        <v>P346</v>
      </c>
      <c r="B347" t="s">
        <v>6</v>
      </c>
      <c r="C347" t="s">
        <v>7</v>
      </c>
      <c r="D347">
        <v>778.96</v>
      </c>
      <c r="E347">
        <v>493</v>
      </c>
      <c r="F347">
        <v>4.3</v>
      </c>
      <c r="G347" t="b">
        <v>1</v>
      </c>
      <c r="H347">
        <f>(Table1[[#This Row],[price]]*Table1[[#This Row],[units_sold]])</f>
        <v>384027.28</v>
      </c>
      <c r="I347" t="str">
        <f>IF(Table1[[#This Row],[in_stock]]=TRUE,"Available","Out of stock")</f>
        <v>Available</v>
      </c>
      <c r="J347" t="str">
        <f>IF(Table1[[#This Row],[rating]]&gt;=4,"High",IF(Table1[[#This Row],[rating]]&gt;=2.5,"Medium","Low"))</f>
        <v>High</v>
      </c>
      <c r="K347" t="str">
        <f>IF(Table1[[#This Row],[price]]&lt;200,"Budget",IF(Table1[[#This Row],[price]]&lt;600,"Mid-Range",IF(Table1[[#This Row],[price]]&lt;1000,"Premium","Luxury")))</f>
        <v>Premium</v>
      </c>
      <c r="L347" t="str">
        <f>IF(Table1[[#This Row],[units_sold]]&lt;50,"Very Low",IF(Table1[[#This Row],[units_sold]]&lt;150,"Low",IF(Table1[[#This Row],[units_sold]]&lt;300,"Medium","High")))</f>
        <v>High</v>
      </c>
      <c r="M347" t="str">
        <f t="shared" si="11"/>
        <v>Normal</v>
      </c>
      <c r="N347">
        <f>(Table1[[#This Row],[price]]*0.7)</f>
        <v>545.27199999999993</v>
      </c>
    </row>
    <row r="348" spans="1:14" x14ac:dyDescent="0.35">
      <c r="A348" t="str">
        <f t="shared" si="10"/>
        <v>P347</v>
      </c>
      <c r="B348" t="s">
        <v>13</v>
      </c>
      <c r="C348" t="s">
        <v>9</v>
      </c>
      <c r="D348">
        <v>1360.71</v>
      </c>
      <c r="E348">
        <v>198</v>
      </c>
      <c r="F348">
        <v>4.4000000000000004</v>
      </c>
      <c r="G348" t="b">
        <v>1</v>
      </c>
      <c r="H348">
        <f>(Table1[[#This Row],[price]]*Table1[[#This Row],[units_sold]])</f>
        <v>269420.58</v>
      </c>
      <c r="I348" t="str">
        <f>IF(Table1[[#This Row],[in_stock]]=TRUE,"Available","Out of stock")</f>
        <v>Available</v>
      </c>
      <c r="J348" t="str">
        <f>IF(Table1[[#This Row],[rating]]&gt;=4,"High",IF(Table1[[#This Row],[rating]]&gt;=2.5,"Medium","Low"))</f>
        <v>High</v>
      </c>
      <c r="K348" t="str">
        <f>IF(Table1[[#This Row],[price]]&lt;200,"Budget",IF(Table1[[#This Row],[price]]&lt;600,"Mid-Range",IF(Table1[[#This Row],[price]]&lt;1000,"Premium","Luxury")))</f>
        <v>Luxury</v>
      </c>
      <c r="L348" t="str">
        <f>IF(Table1[[#This Row],[units_sold]]&lt;50,"Very Low",IF(Table1[[#This Row],[units_sold]]&lt;150,"Low",IF(Table1[[#This Row],[units_sold]]&lt;300,"Medium","High")))</f>
        <v>Medium</v>
      </c>
      <c r="M348" t="str">
        <f t="shared" si="11"/>
        <v>Normal</v>
      </c>
      <c r="N348">
        <f>(Table1[[#This Row],[price]]*0.7)</f>
        <v>952.49699999999996</v>
      </c>
    </row>
    <row r="349" spans="1:14" x14ac:dyDescent="0.35">
      <c r="A349" t="str">
        <f t="shared" si="10"/>
        <v>P348</v>
      </c>
      <c r="B349" t="s">
        <v>14</v>
      </c>
      <c r="C349" t="s">
        <v>9</v>
      </c>
      <c r="D349">
        <v>861.27</v>
      </c>
      <c r="E349">
        <v>337</v>
      </c>
      <c r="F349">
        <v>1.8</v>
      </c>
      <c r="G349" t="b">
        <v>1</v>
      </c>
      <c r="H349">
        <f>(Table1[[#This Row],[price]]*Table1[[#This Row],[units_sold]])</f>
        <v>290247.99</v>
      </c>
      <c r="I349" t="str">
        <f>IF(Table1[[#This Row],[in_stock]]=TRUE,"Available","Out of stock")</f>
        <v>Available</v>
      </c>
      <c r="J349" t="str">
        <f>IF(Table1[[#This Row],[rating]]&gt;=4,"High",IF(Table1[[#This Row],[rating]]&gt;=2.5,"Medium","Low"))</f>
        <v>Low</v>
      </c>
      <c r="K349" t="str">
        <f>IF(Table1[[#This Row],[price]]&lt;200,"Budget",IF(Table1[[#This Row],[price]]&lt;600,"Mid-Range",IF(Table1[[#This Row],[price]]&lt;1000,"Premium","Luxury")))</f>
        <v>Premium</v>
      </c>
      <c r="L349" t="str">
        <f>IF(Table1[[#This Row],[units_sold]]&lt;50,"Very Low",IF(Table1[[#This Row],[units_sold]]&lt;150,"Low",IF(Table1[[#This Row],[units_sold]]&lt;300,"Medium","High")))</f>
        <v>High</v>
      </c>
      <c r="M349" t="str">
        <f t="shared" si="11"/>
        <v>Normal</v>
      </c>
      <c r="N349">
        <f>(Table1[[#This Row],[price]]*0.7)</f>
        <v>602.8889999999999</v>
      </c>
    </row>
    <row r="350" spans="1:14" x14ac:dyDescent="0.35">
      <c r="A350" t="str">
        <f t="shared" si="10"/>
        <v>P349</v>
      </c>
      <c r="B350" t="s">
        <v>11</v>
      </c>
      <c r="C350" t="s">
        <v>9</v>
      </c>
      <c r="D350">
        <v>996.55</v>
      </c>
      <c r="E350">
        <v>365</v>
      </c>
      <c r="F350">
        <v>3.6</v>
      </c>
      <c r="G350" t="b">
        <v>0</v>
      </c>
      <c r="H350">
        <f>(Table1[[#This Row],[price]]*Table1[[#This Row],[units_sold]])</f>
        <v>363740.75</v>
      </c>
      <c r="I350" t="str">
        <f>IF(Table1[[#This Row],[in_stock]]=TRUE,"Available","Out of stock")</f>
        <v>Out of stock</v>
      </c>
      <c r="J350" t="str">
        <f>IF(Table1[[#This Row],[rating]]&gt;=4,"High",IF(Table1[[#This Row],[rating]]&gt;=2.5,"Medium","Low"))</f>
        <v>Medium</v>
      </c>
      <c r="K350" t="str">
        <f>IF(Table1[[#This Row],[price]]&lt;200,"Budget",IF(Table1[[#This Row],[price]]&lt;600,"Mid-Range",IF(Table1[[#This Row],[price]]&lt;1000,"Premium","Luxury")))</f>
        <v>Premium</v>
      </c>
      <c r="L350" t="str">
        <f>IF(Table1[[#This Row],[units_sold]]&lt;50,"Very Low",IF(Table1[[#This Row],[units_sold]]&lt;150,"Low",IF(Table1[[#This Row],[units_sold]]&lt;300,"Medium","High")))</f>
        <v>High</v>
      </c>
      <c r="M350" t="str">
        <f t="shared" si="11"/>
        <v>High Demand - Out of Stock</v>
      </c>
      <c r="N350">
        <f>(Table1[[#This Row],[price]]*0.7)</f>
        <v>697.58499999999992</v>
      </c>
    </row>
    <row r="351" spans="1:14" x14ac:dyDescent="0.35">
      <c r="A351" t="str">
        <f t="shared" si="10"/>
        <v>P350</v>
      </c>
      <c r="B351" t="s">
        <v>11</v>
      </c>
      <c r="C351" t="s">
        <v>9</v>
      </c>
      <c r="D351">
        <v>820.23</v>
      </c>
      <c r="E351">
        <v>51</v>
      </c>
      <c r="F351">
        <v>2.9</v>
      </c>
      <c r="G351" t="b">
        <v>1</v>
      </c>
      <c r="H351">
        <f>(Table1[[#This Row],[price]]*Table1[[#This Row],[units_sold]])</f>
        <v>41831.730000000003</v>
      </c>
      <c r="I351" t="str">
        <f>IF(Table1[[#This Row],[in_stock]]=TRUE,"Available","Out of stock")</f>
        <v>Available</v>
      </c>
      <c r="J351" t="str">
        <f>IF(Table1[[#This Row],[rating]]&gt;=4,"High",IF(Table1[[#This Row],[rating]]&gt;=2.5,"Medium","Low"))</f>
        <v>Medium</v>
      </c>
      <c r="K351" t="str">
        <f>IF(Table1[[#This Row],[price]]&lt;200,"Budget",IF(Table1[[#This Row],[price]]&lt;600,"Mid-Range",IF(Table1[[#This Row],[price]]&lt;1000,"Premium","Luxury")))</f>
        <v>Premium</v>
      </c>
      <c r="L351" t="str">
        <f>IF(Table1[[#This Row],[units_sold]]&lt;50,"Very Low",IF(Table1[[#This Row],[units_sold]]&lt;150,"Low",IF(Table1[[#This Row],[units_sold]]&lt;300,"Medium","High")))</f>
        <v>Low</v>
      </c>
      <c r="M351" t="str">
        <f t="shared" si="11"/>
        <v>Normal</v>
      </c>
      <c r="N351">
        <f>(Table1[[#This Row],[price]]*0.7)</f>
        <v>574.16099999999994</v>
      </c>
    </row>
    <row r="352" spans="1:14" x14ac:dyDescent="0.35">
      <c r="A352" t="str">
        <f t="shared" si="10"/>
        <v>P351</v>
      </c>
      <c r="B352" t="s">
        <v>14</v>
      </c>
      <c r="C352" t="s">
        <v>9</v>
      </c>
      <c r="D352">
        <v>1298.0899999999999</v>
      </c>
      <c r="E352">
        <v>245</v>
      </c>
      <c r="F352">
        <v>4.5</v>
      </c>
      <c r="G352" t="b">
        <v>1</v>
      </c>
      <c r="H352">
        <f>(Table1[[#This Row],[price]]*Table1[[#This Row],[units_sold]])</f>
        <v>318032.05</v>
      </c>
      <c r="I352" t="str">
        <f>IF(Table1[[#This Row],[in_stock]]=TRUE,"Available","Out of stock")</f>
        <v>Available</v>
      </c>
      <c r="J352" t="str">
        <f>IF(Table1[[#This Row],[rating]]&gt;=4,"High",IF(Table1[[#This Row],[rating]]&gt;=2.5,"Medium","Low"))</f>
        <v>High</v>
      </c>
      <c r="K352" t="str">
        <f>IF(Table1[[#This Row],[price]]&lt;200,"Budget",IF(Table1[[#This Row],[price]]&lt;600,"Mid-Range",IF(Table1[[#This Row],[price]]&lt;1000,"Premium","Luxury")))</f>
        <v>Luxury</v>
      </c>
      <c r="L352" t="str">
        <f>IF(Table1[[#This Row],[units_sold]]&lt;50,"Very Low",IF(Table1[[#This Row],[units_sold]]&lt;150,"Low",IF(Table1[[#This Row],[units_sold]]&lt;300,"Medium","High")))</f>
        <v>Medium</v>
      </c>
      <c r="M352" t="str">
        <f t="shared" si="11"/>
        <v>Normal</v>
      </c>
      <c r="N352">
        <f>(Table1[[#This Row],[price]]*0.7)</f>
        <v>908.6629999999999</v>
      </c>
    </row>
    <row r="353" spans="1:14" x14ac:dyDescent="0.35">
      <c r="A353" t="str">
        <f t="shared" si="10"/>
        <v>P352</v>
      </c>
      <c r="B353" t="s">
        <v>15</v>
      </c>
      <c r="C353" t="s">
        <v>7</v>
      </c>
      <c r="D353">
        <v>1103.53</v>
      </c>
      <c r="E353">
        <v>403</v>
      </c>
      <c r="F353">
        <v>1.9</v>
      </c>
      <c r="G353" t="b">
        <v>1</v>
      </c>
      <c r="H353">
        <f>(Table1[[#This Row],[price]]*Table1[[#This Row],[units_sold]])</f>
        <v>444722.58999999997</v>
      </c>
      <c r="I353" t="str">
        <f>IF(Table1[[#This Row],[in_stock]]=TRUE,"Available","Out of stock")</f>
        <v>Available</v>
      </c>
      <c r="J353" t="str">
        <f>IF(Table1[[#This Row],[rating]]&gt;=4,"High",IF(Table1[[#This Row],[rating]]&gt;=2.5,"Medium","Low"))</f>
        <v>Low</v>
      </c>
      <c r="K353" t="str">
        <f>IF(Table1[[#This Row],[price]]&lt;200,"Budget",IF(Table1[[#This Row],[price]]&lt;600,"Mid-Range",IF(Table1[[#This Row],[price]]&lt;1000,"Premium","Luxury")))</f>
        <v>Luxury</v>
      </c>
      <c r="L353" t="str">
        <f>IF(Table1[[#This Row],[units_sold]]&lt;50,"Very Low",IF(Table1[[#This Row],[units_sold]]&lt;150,"Low",IF(Table1[[#This Row],[units_sold]]&lt;300,"Medium","High")))</f>
        <v>High</v>
      </c>
      <c r="M353" t="str">
        <f t="shared" si="11"/>
        <v>Normal</v>
      </c>
      <c r="N353">
        <f>(Table1[[#This Row],[price]]*0.7)</f>
        <v>772.47099999999989</v>
      </c>
    </row>
    <row r="354" spans="1:14" x14ac:dyDescent="0.35">
      <c r="A354" t="str">
        <f t="shared" si="10"/>
        <v>P353</v>
      </c>
      <c r="B354" t="s">
        <v>13</v>
      </c>
      <c r="C354" t="s">
        <v>9</v>
      </c>
      <c r="D354">
        <v>786.68</v>
      </c>
      <c r="E354">
        <v>426</v>
      </c>
      <c r="F354">
        <v>3.7</v>
      </c>
      <c r="G354" t="b">
        <v>1</v>
      </c>
      <c r="H354">
        <f>(Table1[[#This Row],[price]]*Table1[[#This Row],[units_sold]])</f>
        <v>335125.68</v>
      </c>
      <c r="I354" t="str">
        <f>IF(Table1[[#This Row],[in_stock]]=TRUE,"Available","Out of stock")</f>
        <v>Available</v>
      </c>
      <c r="J354" t="str">
        <f>IF(Table1[[#This Row],[rating]]&gt;=4,"High",IF(Table1[[#This Row],[rating]]&gt;=2.5,"Medium","Low"))</f>
        <v>Medium</v>
      </c>
      <c r="K354" t="str">
        <f>IF(Table1[[#This Row],[price]]&lt;200,"Budget",IF(Table1[[#This Row],[price]]&lt;600,"Mid-Range",IF(Table1[[#This Row],[price]]&lt;1000,"Premium","Luxury")))</f>
        <v>Premium</v>
      </c>
      <c r="L354" t="str">
        <f>IF(Table1[[#This Row],[units_sold]]&lt;50,"Very Low",IF(Table1[[#This Row],[units_sold]]&lt;150,"Low",IF(Table1[[#This Row],[units_sold]]&lt;300,"Medium","High")))</f>
        <v>High</v>
      </c>
      <c r="M354" t="str">
        <f t="shared" si="11"/>
        <v>Normal</v>
      </c>
      <c r="N354">
        <f>(Table1[[#This Row],[price]]*0.7)</f>
        <v>550.67599999999993</v>
      </c>
    </row>
    <row r="355" spans="1:14" x14ac:dyDescent="0.35">
      <c r="A355" t="str">
        <f t="shared" si="10"/>
        <v>P354</v>
      </c>
      <c r="B355" t="s">
        <v>8</v>
      </c>
      <c r="C355" t="s">
        <v>9</v>
      </c>
      <c r="D355">
        <v>1303.56</v>
      </c>
      <c r="E355">
        <v>35</v>
      </c>
      <c r="F355">
        <v>3.4</v>
      </c>
      <c r="G355" t="b">
        <v>1</v>
      </c>
      <c r="H355">
        <f>(Table1[[#This Row],[price]]*Table1[[#This Row],[units_sold]])</f>
        <v>45624.6</v>
      </c>
      <c r="I355" t="str">
        <f>IF(Table1[[#This Row],[in_stock]]=TRUE,"Available","Out of stock")</f>
        <v>Available</v>
      </c>
      <c r="J355" t="str">
        <f>IF(Table1[[#This Row],[rating]]&gt;=4,"High",IF(Table1[[#This Row],[rating]]&gt;=2.5,"Medium","Low"))</f>
        <v>Medium</v>
      </c>
      <c r="K355" t="str">
        <f>IF(Table1[[#This Row],[price]]&lt;200,"Budget",IF(Table1[[#This Row],[price]]&lt;600,"Mid-Range",IF(Table1[[#This Row],[price]]&lt;1000,"Premium","Luxury")))</f>
        <v>Luxury</v>
      </c>
      <c r="L355" t="str">
        <f>IF(Table1[[#This Row],[units_sold]]&lt;50,"Very Low",IF(Table1[[#This Row],[units_sold]]&lt;150,"Low",IF(Table1[[#This Row],[units_sold]]&lt;300,"Medium","High")))</f>
        <v>Very Low</v>
      </c>
      <c r="M355" t="str">
        <f t="shared" si="11"/>
        <v>Normal</v>
      </c>
      <c r="N355">
        <f>(Table1[[#This Row],[price]]*0.7)</f>
        <v>912.49199999999985</v>
      </c>
    </row>
    <row r="356" spans="1:14" x14ac:dyDescent="0.35">
      <c r="A356" t="str">
        <f t="shared" si="10"/>
        <v>P355</v>
      </c>
      <c r="B356" t="s">
        <v>10</v>
      </c>
      <c r="C356" t="s">
        <v>9</v>
      </c>
      <c r="D356">
        <v>375.48</v>
      </c>
      <c r="E356">
        <v>302</v>
      </c>
      <c r="F356">
        <v>2.2000000000000002</v>
      </c>
      <c r="G356" t="b">
        <v>1</v>
      </c>
      <c r="H356">
        <f>(Table1[[#This Row],[price]]*Table1[[#This Row],[units_sold]])</f>
        <v>113394.96</v>
      </c>
      <c r="I356" t="str">
        <f>IF(Table1[[#This Row],[in_stock]]=TRUE,"Available","Out of stock")</f>
        <v>Available</v>
      </c>
      <c r="J356" t="str">
        <f>IF(Table1[[#This Row],[rating]]&gt;=4,"High",IF(Table1[[#This Row],[rating]]&gt;=2.5,"Medium","Low"))</f>
        <v>Low</v>
      </c>
      <c r="K356" t="str">
        <f>IF(Table1[[#This Row],[price]]&lt;200,"Budget",IF(Table1[[#This Row],[price]]&lt;600,"Mid-Range",IF(Table1[[#This Row],[price]]&lt;1000,"Premium","Luxury")))</f>
        <v>Mid-Range</v>
      </c>
      <c r="L356" t="str">
        <f>IF(Table1[[#This Row],[units_sold]]&lt;50,"Very Low",IF(Table1[[#This Row],[units_sold]]&lt;150,"Low",IF(Table1[[#This Row],[units_sold]]&lt;300,"Medium","High")))</f>
        <v>High</v>
      </c>
      <c r="M356" t="str">
        <f t="shared" si="11"/>
        <v>Normal</v>
      </c>
      <c r="N356">
        <f>(Table1[[#This Row],[price]]*0.7)</f>
        <v>262.83600000000001</v>
      </c>
    </row>
    <row r="357" spans="1:14" x14ac:dyDescent="0.35">
      <c r="A357" t="str">
        <f t="shared" si="10"/>
        <v>P356</v>
      </c>
      <c r="B357" t="s">
        <v>15</v>
      </c>
      <c r="C357" t="s">
        <v>7</v>
      </c>
      <c r="D357">
        <v>244.44</v>
      </c>
      <c r="E357">
        <v>410</v>
      </c>
      <c r="F357">
        <v>1.5</v>
      </c>
      <c r="G357" t="b">
        <v>0</v>
      </c>
      <c r="H357">
        <f>(Table1[[#This Row],[price]]*Table1[[#This Row],[units_sold]])</f>
        <v>100220.4</v>
      </c>
      <c r="I357" t="str">
        <f>IF(Table1[[#This Row],[in_stock]]=TRUE,"Available","Out of stock")</f>
        <v>Out of stock</v>
      </c>
      <c r="J357" t="str">
        <f>IF(Table1[[#This Row],[rating]]&gt;=4,"High",IF(Table1[[#This Row],[rating]]&gt;=2.5,"Medium","Low"))</f>
        <v>Low</v>
      </c>
      <c r="K357" t="str">
        <f>IF(Table1[[#This Row],[price]]&lt;200,"Budget",IF(Table1[[#This Row],[price]]&lt;600,"Mid-Range",IF(Table1[[#This Row],[price]]&lt;1000,"Premium","Luxury")))</f>
        <v>Mid-Range</v>
      </c>
      <c r="L357" t="str">
        <f>IF(Table1[[#This Row],[units_sold]]&lt;50,"Very Low",IF(Table1[[#This Row],[units_sold]]&lt;150,"Low",IF(Table1[[#This Row],[units_sold]]&lt;300,"Medium","High")))</f>
        <v>High</v>
      </c>
      <c r="M357" t="str">
        <f t="shared" si="11"/>
        <v>High Demand - Out of Stock</v>
      </c>
      <c r="N357">
        <f>(Table1[[#This Row],[price]]*0.7)</f>
        <v>171.10799999999998</v>
      </c>
    </row>
    <row r="358" spans="1:14" x14ac:dyDescent="0.35">
      <c r="A358" t="str">
        <f t="shared" si="10"/>
        <v>P357</v>
      </c>
      <c r="B358" t="s">
        <v>10</v>
      </c>
      <c r="C358" t="s">
        <v>9</v>
      </c>
      <c r="D358">
        <v>249</v>
      </c>
      <c r="E358">
        <v>499</v>
      </c>
      <c r="F358">
        <v>3.6</v>
      </c>
      <c r="G358" t="b">
        <v>1</v>
      </c>
      <c r="H358">
        <f>(Table1[[#This Row],[price]]*Table1[[#This Row],[units_sold]])</f>
        <v>124251</v>
      </c>
      <c r="I358" t="str">
        <f>IF(Table1[[#This Row],[in_stock]]=TRUE,"Available","Out of stock")</f>
        <v>Available</v>
      </c>
      <c r="J358" t="str">
        <f>IF(Table1[[#This Row],[rating]]&gt;=4,"High",IF(Table1[[#This Row],[rating]]&gt;=2.5,"Medium","Low"))</f>
        <v>Medium</v>
      </c>
      <c r="K358" t="str">
        <f>IF(Table1[[#This Row],[price]]&lt;200,"Budget",IF(Table1[[#This Row],[price]]&lt;600,"Mid-Range",IF(Table1[[#This Row],[price]]&lt;1000,"Premium","Luxury")))</f>
        <v>Mid-Range</v>
      </c>
      <c r="L358" t="str">
        <f>IF(Table1[[#This Row],[units_sold]]&lt;50,"Very Low",IF(Table1[[#This Row],[units_sold]]&lt;150,"Low",IF(Table1[[#This Row],[units_sold]]&lt;300,"Medium","High")))</f>
        <v>High</v>
      </c>
      <c r="M358" t="str">
        <f t="shared" si="11"/>
        <v>Normal</v>
      </c>
      <c r="N358">
        <f>(Table1[[#This Row],[price]]*0.7)</f>
        <v>174.29999999999998</v>
      </c>
    </row>
    <row r="359" spans="1:14" x14ac:dyDescent="0.35">
      <c r="A359" t="str">
        <f t="shared" si="10"/>
        <v>P358</v>
      </c>
      <c r="B359" t="s">
        <v>10</v>
      </c>
      <c r="C359" t="s">
        <v>9</v>
      </c>
      <c r="D359">
        <v>507.67</v>
      </c>
      <c r="E359">
        <v>69</v>
      </c>
      <c r="F359">
        <v>4</v>
      </c>
      <c r="G359" t="b">
        <v>1</v>
      </c>
      <c r="H359">
        <f>(Table1[[#This Row],[price]]*Table1[[#This Row],[units_sold]])</f>
        <v>35029.230000000003</v>
      </c>
      <c r="I359" t="str">
        <f>IF(Table1[[#This Row],[in_stock]]=TRUE,"Available","Out of stock")</f>
        <v>Available</v>
      </c>
      <c r="J359" t="str">
        <f>IF(Table1[[#This Row],[rating]]&gt;=4,"High",IF(Table1[[#This Row],[rating]]&gt;=2.5,"Medium","Low"))</f>
        <v>High</v>
      </c>
      <c r="K359" t="str">
        <f>IF(Table1[[#This Row],[price]]&lt;200,"Budget",IF(Table1[[#This Row],[price]]&lt;600,"Mid-Range",IF(Table1[[#This Row],[price]]&lt;1000,"Premium","Luxury")))</f>
        <v>Mid-Range</v>
      </c>
      <c r="L359" t="str">
        <f>IF(Table1[[#This Row],[units_sold]]&lt;50,"Very Low",IF(Table1[[#This Row],[units_sold]]&lt;150,"Low",IF(Table1[[#This Row],[units_sold]]&lt;300,"Medium","High")))</f>
        <v>Low</v>
      </c>
      <c r="M359" t="str">
        <f t="shared" si="11"/>
        <v>Normal</v>
      </c>
      <c r="N359">
        <f>(Table1[[#This Row],[price]]*0.7)</f>
        <v>355.36899999999997</v>
      </c>
    </row>
    <row r="360" spans="1:14" x14ac:dyDescent="0.35">
      <c r="A360" t="str">
        <f t="shared" si="10"/>
        <v>P359</v>
      </c>
      <c r="B360" t="s">
        <v>15</v>
      </c>
      <c r="C360" t="s">
        <v>7</v>
      </c>
      <c r="D360">
        <v>365.65</v>
      </c>
      <c r="E360">
        <v>349</v>
      </c>
      <c r="F360">
        <v>2.2999999999999998</v>
      </c>
      <c r="G360" t="b">
        <v>1</v>
      </c>
      <c r="H360">
        <f>(Table1[[#This Row],[price]]*Table1[[#This Row],[units_sold]])</f>
        <v>127611.84999999999</v>
      </c>
      <c r="I360" t="str">
        <f>IF(Table1[[#This Row],[in_stock]]=TRUE,"Available","Out of stock")</f>
        <v>Available</v>
      </c>
      <c r="J360" t="str">
        <f>IF(Table1[[#This Row],[rating]]&gt;=4,"High",IF(Table1[[#This Row],[rating]]&gt;=2.5,"Medium","Low"))</f>
        <v>Low</v>
      </c>
      <c r="K360" t="str">
        <f>IF(Table1[[#This Row],[price]]&lt;200,"Budget",IF(Table1[[#This Row],[price]]&lt;600,"Mid-Range",IF(Table1[[#This Row],[price]]&lt;1000,"Premium","Luxury")))</f>
        <v>Mid-Range</v>
      </c>
      <c r="L360" t="str">
        <f>IF(Table1[[#This Row],[units_sold]]&lt;50,"Very Low",IF(Table1[[#This Row],[units_sold]]&lt;150,"Low",IF(Table1[[#This Row],[units_sold]]&lt;300,"Medium","High")))</f>
        <v>High</v>
      </c>
      <c r="M360" t="str">
        <f t="shared" si="11"/>
        <v>Normal</v>
      </c>
      <c r="N360">
        <f>(Table1[[#This Row],[price]]*0.7)</f>
        <v>255.95499999999996</v>
      </c>
    </row>
    <row r="361" spans="1:14" x14ac:dyDescent="0.35">
      <c r="A361" t="str">
        <f t="shared" si="10"/>
        <v>P360</v>
      </c>
      <c r="B361" t="s">
        <v>16</v>
      </c>
      <c r="C361" t="s">
        <v>9</v>
      </c>
      <c r="D361">
        <v>1395.83</v>
      </c>
      <c r="E361">
        <v>320</v>
      </c>
      <c r="F361">
        <v>3.6</v>
      </c>
      <c r="G361" t="b">
        <v>1</v>
      </c>
      <c r="H361">
        <f>(Table1[[#This Row],[price]]*Table1[[#This Row],[units_sold]])</f>
        <v>446665.6</v>
      </c>
      <c r="I361" t="str">
        <f>IF(Table1[[#This Row],[in_stock]]=TRUE,"Available","Out of stock")</f>
        <v>Available</v>
      </c>
      <c r="J361" t="str">
        <f>IF(Table1[[#This Row],[rating]]&gt;=4,"High",IF(Table1[[#This Row],[rating]]&gt;=2.5,"Medium","Low"))</f>
        <v>Medium</v>
      </c>
      <c r="K361" t="str">
        <f>IF(Table1[[#This Row],[price]]&lt;200,"Budget",IF(Table1[[#This Row],[price]]&lt;600,"Mid-Range",IF(Table1[[#This Row],[price]]&lt;1000,"Premium","Luxury")))</f>
        <v>Luxury</v>
      </c>
      <c r="L361" t="str">
        <f>IF(Table1[[#This Row],[units_sold]]&lt;50,"Very Low",IF(Table1[[#This Row],[units_sold]]&lt;150,"Low",IF(Table1[[#This Row],[units_sold]]&lt;300,"Medium","High")))</f>
        <v>High</v>
      </c>
      <c r="M361" t="str">
        <f t="shared" si="11"/>
        <v>Normal</v>
      </c>
      <c r="N361">
        <f>(Table1[[#This Row],[price]]*0.7)</f>
        <v>977.0809999999999</v>
      </c>
    </row>
    <row r="362" spans="1:14" x14ac:dyDescent="0.35">
      <c r="A362" t="str">
        <f t="shared" si="10"/>
        <v>P361</v>
      </c>
      <c r="B362" t="s">
        <v>17</v>
      </c>
      <c r="C362" t="s">
        <v>7</v>
      </c>
      <c r="D362">
        <v>167.69</v>
      </c>
      <c r="E362">
        <v>421</v>
      </c>
      <c r="F362">
        <v>2.6</v>
      </c>
      <c r="G362" t="b">
        <v>1</v>
      </c>
      <c r="H362">
        <f>(Table1[[#This Row],[price]]*Table1[[#This Row],[units_sold]])</f>
        <v>70597.490000000005</v>
      </c>
      <c r="I362" t="str">
        <f>IF(Table1[[#This Row],[in_stock]]=TRUE,"Available","Out of stock")</f>
        <v>Available</v>
      </c>
      <c r="J362" t="str">
        <f>IF(Table1[[#This Row],[rating]]&gt;=4,"High",IF(Table1[[#This Row],[rating]]&gt;=2.5,"Medium","Low"))</f>
        <v>Medium</v>
      </c>
      <c r="K362" t="str">
        <f>IF(Table1[[#This Row],[price]]&lt;200,"Budget",IF(Table1[[#This Row],[price]]&lt;600,"Mid-Range",IF(Table1[[#This Row],[price]]&lt;1000,"Premium","Luxury")))</f>
        <v>Budget</v>
      </c>
      <c r="L362" t="str">
        <f>IF(Table1[[#This Row],[units_sold]]&lt;50,"Very Low",IF(Table1[[#This Row],[units_sold]]&lt;150,"Low",IF(Table1[[#This Row],[units_sold]]&lt;300,"Medium","High")))</f>
        <v>High</v>
      </c>
      <c r="M362" t="str">
        <f t="shared" si="11"/>
        <v>Normal</v>
      </c>
      <c r="N362">
        <f>(Table1[[#This Row],[price]]*0.7)</f>
        <v>117.383</v>
      </c>
    </row>
    <row r="363" spans="1:14" x14ac:dyDescent="0.35">
      <c r="A363" t="str">
        <f t="shared" si="10"/>
        <v>P362</v>
      </c>
      <c r="B363" t="s">
        <v>10</v>
      </c>
      <c r="C363" t="s">
        <v>9</v>
      </c>
      <c r="D363">
        <v>1051.5</v>
      </c>
      <c r="E363">
        <v>468</v>
      </c>
      <c r="F363">
        <v>3.9</v>
      </c>
      <c r="G363" t="b">
        <v>1</v>
      </c>
      <c r="H363">
        <f>(Table1[[#This Row],[price]]*Table1[[#This Row],[units_sold]])</f>
        <v>492102</v>
      </c>
      <c r="I363" t="str">
        <f>IF(Table1[[#This Row],[in_stock]]=TRUE,"Available","Out of stock")</f>
        <v>Available</v>
      </c>
      <c r="J363" t="str">
        <f>IF(Table1[[#This Row],[rating]]&gt;=4,"High",IF(Table1[[#This Row],[rating]]&gt;=2.5,"Medium","Low"))</f>
        <v>Medium</v>
      </c>
      <c r="K363" t="str">
        <f>IF(Table1[[#This Row],[price]]&lt;200,"Budget",IF(Table1[[#This Row],[price]]&lt;600,"Mid-Range",IF(Table1[[#This Row],[price]]&lt;1000,"Premium","Luxury")))</f>
        <v>Luxury</v>
      </c>
      <c r="L363" t="str">
        <f>IF(Table1[[#This Row],[units_sold]]&lt;50,"Very Low",IF(Table1[[#This Row],[units_sold]]&lt;150,"Low",IF(Table1[[#This Row],[units_sold]]&lt;300,"Medium","High")))</f>
        <v>High</v>
      </c>
      <c r="M363" t="str">
        <f t="shared" si="11"/>
        <v>Normal</v>
      </c>
      <c r="N363">
        <f>(Table1[[#This Row],[price]]*0.7)</f>
        <v>736.05</v>
      </c>
    </row>
    <row r="364" spans="1:14" x14ac:dyDescent="0.35">
      <c r="A364" t="str">
        <f t="shared" si="10"/>
        <v>P363</v>
      </c>
      <c r="B364" t="s">
        <v>15</v>
      </c>
      <c r="C364" t="s">
        <v>7</v>
      </c>
      <c r="D364">
        <v>291.94</v>
      </c>
      <c r="E364">
        <v>49</v>
      </c>
      <c r="F364">
        <v>1.8</v>
      </c>
      <c r="G364" t="b">
        <v>1</v>
      </c>
      <c r="H364">
        <f>(Table1[[#This Row],[price]]*Table1[[#This Row],[units_sold]])</f>
        <v>14305.06</v>
      </c>
      <c r="I364" t="str">
        <f>IF(Table1[[#This Row],[in_stock]]=TRUE,"Available","Out of stock")</f>
        <v>Available</v>
      </c>
      <c r="J364" t="str">
        <f>IF(Table1[[#This Row],[rating]]&gt;=4,"High",IF(Table1[[#This Row],[rating]]&gt;=2.5,"Medium","Low"))</f>
        <v>Low</v>
      </c>
      <c r="K364" t="str">
        <f>IF(Table1[[#This Row],[price]]&lt;200,"Budget",IF(Table1[[#This Row],[price]]&lt;600,"Mid-Range",IF(Table1[[#This Row],[price]]&lt;1000,"Premium","Luxury")))</f>
        <v>Mid-Range</v>
      </c>
      <c r="L364" t="str">
        <f>IF(Table1[[#This Row],[units_sold]]&lt;50,"Very Low",IF(Table1[[#This Row],[units_sold]]&lt;150,"Low",IF(Table1[[#This Row],[units_sold]]&lt;300,"Medium","High")))</f>
        <v>Very Low</v>
      </c>
      <c r="M364" t="str">
        <f t="shared" si="11"/>
        <v>Normal</v>
      </c>
      <c r="N364">
        <f>(Table1[[#This Row],[price]]*0.7)</f>
        <v>204.35799999999998</v>
      </c>
    </row>
    <row r="365" spans="1:14" x14ac:dyDescent="0.35">
      <c r="A365" t="str">
        <f t="shared" si="10"/>
        <v>P364</v>
      </c>
      <c r="B365" t="s">
        <v>15</v>
      </c>
      <c r="C365" t="s">
        <v>7</v>
      </c>
      <c r="D365">
        <v>1323.64</v>
      </c>
      <c r="E365">
        <v>405</v>
      </c>
      <c r="F365">
        <v>4.5999999999999996</v>
      </c>
      <c r="G365" t="b">
        <v>1</v>
      </c>
      <c r="H365">
        <f>(Table1[[#This Row],[price]]*Table1[[#This Row],[units_sold]])</f>
        <v>536074.20000000007</v>
      </c>
      <c r="I365" t="str">
        <f>IF(Table1[[#This Row],[in_stock]]=TRUE,"Available","Out of stock")</f>
        <v>Available</v>
      </c>
      <c r="J365" t="str">
        <f>IF(Table1[[#This Row],[rating]]&gt;=4,"High",IF(Table1[[#This Row],[rating]]&gt;=2.5,"Medium","Low"))</f>
        <v>High</v>
      </c>
      <c r="K365" t="str">
        <f>IF(Table1[[#This Row],[price]]&lt;200,"Budget",IF(Table1[[#This Row],[price]]&lt;600,"Mid-Range",IF(Table1[[#This Row],[price]]&lt;1000,"Premium","Luxury")))</f>
        <v>Luxury</v>
      </c>
      <c r="L365" t="str">
        <f>IF(Table1[[#This Row],[units_sold]]&lt;50,"Very Low",IF(Table1[[#This Row],[units_sold]]&lt;150,"Low",IF(Table1[[#This Row],[units_sold]]&lt;300,"Medium","High")))</f>
        <v>High</v>
      </c>
      <c r="M365" t="str">
        <f t="shared" si="11"/>
        <v>Normal</v>
      </c>
      <c r="N365">
        <f>(Table1[[#This Row],[price]]*0.7)</f>
        <v>926.548</v>
      </c>
    </row>
    <row r="366" spans="1:14" x14ac:dyDescent="0.35">
      <c r="A366" t="str">
        <f t="shared" si="10"/>
        <v>P365</v>
      </c>
      <c r="B366" t="s">
        <v>12</v>
      </c>
      <c r="C366" t="s">
        <v>7</v>
      </c>
      <c r="D366">
        <v>1442.36</v>
      </c>
      <c r="E366">
        <v>74</v>
      </c>
      <c r="F366">
        <v>2.1</v>
      </c>
      <c r="G366" t="b">
        <v>1</v>
      </c>
      <c r="H366">
        <f>(Table1[[#This Row],[price]]*Table1[[#This Row],[units_sold]])</f>
        <v>106734.64</v>
      </c>
      <c r="I366" t="str">
        <f>IF(Table1[[#This Row],[in_stock]]=TRUE,"Available","Out of stock")</f>
        <v>Available</v>
      </c>
      <c r="J366" t="str">
        <f>IF(Table1[[#This Row],[rating]]&gt;=4,"High",IF(Table1[[#This Row],[rating]]&gt;=2.5,"Medium","Low"))</f>
        <v>Low</v>
      </c>
      <c r="K366" t="str">
        <f>IF(Table1[[#This Row],[price]]&lt;200,"Budget",IF(Table1[[#This Row],[price]]&lt;600,"Mid-Range",IF(Table1[[#This Row],[price]]&lt;1000,"Premium","Luxury")))</f>
        <v>Luxury</v>
      </c>
      <c r="L366" t="str">
        <f>IF(Table1[[#This Row],[units_sold]]&lt;50,"Very Low",IF(Table1[[#This Row],[units_sold]]&lt;150,"Low",IF(Table1[[#This Row],[units_sold]]&lt;300,"Medium","High")))</f>
        <v>Low</v>
      </c>
      <c r="M366" t="str">
        <f t="shared" si="11"/>
        <v>Normal</v>
      </c>
      <c r="N366">
        <f>(Table1[[#This Row],[price]]*0.7)</f>
        <v>1009.6519999999998</v>
      </c>
    </row>
    <row r="367" spans="1:14" x14ac:dyDescent="0.35">
      <c r="A367" t="str">
        <f t="shared" si="10"/>
        <v>P366</v>
      </c>
      <c r="B367" t="s">
        <v>16</v>
      </c>
      <c r="C367" t="s">
        <v>9</v>
      </c>
      <c r="D367">
        <v>703.55</v>
      </c>
      <c r="E367">
        <v>192</v>
      </c>
      <c r="F367">
        <v>2.5</v>
      </c>
      <c r="G367" t="b">
        <v>1</v>
      </c>
      <c r="H367">
        <f>(Table1[[#This Row],[price]]*Table1[[#This Row],[units_sold]])</f>
        <v>135081.59999999998</v>
      </c>
      <c r="I367" t="str">
        <f>IF(Table1[[#This Row],[in_stock]]=TRUE,"Available","Out of stock")</f>
        <v>Available</v>
      </c>
      <c r="J367" t="str">
        <f>IF(Table1[[#This Row],[rating]]&gt;=4,"High",IF(Table1[[#This Row],[rating]]&gt;=2.5,"Medium","Low"))</f>
        <v>Medium</v>
      </c>
      <c r="K367" t="str">
        <f>IF(Table1[[#This Row],[price]]&lt;200,"Budget",IF(Table1[[#This Row],[price]]&lt;600,"Mid-Range",IF(Table1[[#This Row],[price]]&lt;1000,"Premium","Luxury")))</f>
        <v>Premium</v>
      </c>
      <c r="L367" t="str">
        <f>IF(Table1[[#This Row],[units_sold]]&lt;50,"Very Low",IF(Table1[[#This Row],[units_sold]]&lt;150,"Low",IF(Table1[[#This Row],[units_sold]]&lt;300,"Medium","High")))</f>
        <v>Medium</v>
      </c>
      <c r="M367" t="str">
        <f t="shared" si="11"/>
        <v>Normal</v>
      </c>
      <c r="N367">
        <f>(Table1[[#This Row],[price]]*0.7)</f>
        <v>492.48499999999996</v>
      </c>
    </row>
    <row r="368" spans="1:14" x14ac:dyDescent="0.35">
      <c r="A368" t="str">
        <f t="shared" si="10"/>
        <v>P367</v>
      </c>
      <c r="B368" t="s">
        <v>6</v>
      </c>
      <c r="C368" t="s">
        <v>7</v>
      </c>
      <c r="D368">
        <v>1319.82</v>
      </c>
      <c r="E368">
        <v>261</v>
      </c>
      <c r="F368">
        <v>1.2</v>
      </c>
      <c r="G368" t="b">
        <v>1</v>
      </c>
      <c r="H368">
        <f>(Table1[[#This Row],[price]]*Table1[[#This Row],[units_sold]])</f>
        <v>344473.01999999996</v>
      </c>
      <c r="I368" t="str">
        <f>IF(Table1[[#This Row],[in_stock]]=TRUE,"Available","Out of stock")</f>
        <v>Available</v>
      </c>
      <c r="J368" t="str">
        <f>IF(Table1[[#This Row],[rating]]&gt;=4,"High",IF(Table1[[#This Row],[rating]]&gt;=2.5,"Medium","Low"))</f>
        <v>Low</v>
      </c>
      <c r="K368" t="str">
        <f>IF(Table1[[#This Row],[price]]&lt;200,"Budget",IF(Table1[[#This Row],[price]]&lt;600,"Mid-Range",IF(Table1[[#This Row],[price]]&lt;1000,"Premium","Luxury")))</f>
        <v>Luxury</v>
      </c>
      <c r="L368" t="str">
        <f>IF(Table1[[#This Row],[units_sold]]&lt;50,"Very Low",IF(Table1[[#This Row],[units_sold]]&lt;150,"Low",IF(Table1[[#This Row],[units_sold]]&lt;300,"Medium","High")))</f>
        <v>Medium</v>
      </c>
      <c r="M368" t="str">
        <f t="shared" si="11"/>
        <v>Normal</v>
      </c>
      <c r="N368">
        <f>(Table1[[#This Row],[price]]*0.7)</f>
        <v>923.87399999999991</v>
      </c>
    </row>
    <row r="369" spans="1:14" x14ac:dyDescent="0.35">
      <c r="A369" t="str">
        <f t="shared" si="10"/>
        <v>P368</v>
      </c>
      <c r="B369" t="s">
        <v>12</v>
      </c>
      <c r="C369" t="s">
        <v>7</v>
      </c>
      <c r="D369">
        <v>17.670000000000002</v>
      </c>
      <c r="E369">
        <v>356</v>
      </c>
      <c r="F369">
        <v>1.4</v>
      </c>
      <c r="G369" t="b">
        <v>0</v>
      </c>
      <c r="H369">
        <f>(Table1[[#This Row],[price]]*Table1[[#This Row],[units_sold]])</f>
        <v>6290.52</v>
      </c>
      <c r="I369" t="str">
        <f>IF(Table1[[#This Row],[in_stock]]=TRUE,"Available","Out of stock")</f>
        <v>Out of stock</v>
      </c>
      <c r="J369" t="str">
        <f>IF(Table1[[#This Row],[rating]]&gt;=4,"High",IF(Table1[[#This Row],[rating]]&gt;=2.5,"Medium","Low"))</f>
        <v>Low</v>
      </c>
      <c r="K369" t="str">
        <f>IF(Table1[[#This Row],[price]]&lt;200,"Budget",IF(Table1[[#This Row],[price]]&lt;600,"Mid-Range",IF(Table1[[#This Row],[price]]&lt;1000,"Premium","Luxury")))</f>
        <v>Budget</v>
      </c>
      <c r="L369" t="str">
        <f>IF(Table1[[#This Row],[units_sold]]&lt;50,"Very Low",IF(Table1[[#This Row],[units_sold]]&lt;150,"Low",IF(Table1[[#This Row],[units_sold]]&lt;300,"Medium","High")))</f>
        <v>High</v>
      </c>
      <c r="M369" t="str">
        <f t="shared" si="11"/>
        <v>High Demand - Out of Stock</v>
      </c>
      <c r="N369">
        <f>(Table1[[#This Row],[price]]*0.7)</f>
        <v>12.369</v>
      </c>
    </row>
    <row r="370" spans="1:14" x14ac:dyDescent="0.35">
      <c r="A370" t="str">
        <f t="shared" si="10"/>
        <v>P369</v>
      </c>
      <c r="B370" t="s">
        <v>12</v>
      </c>
      <c r="C370" t="s">
        <v>7</v>
      </c>
      <c r="D370">
        <v>1231.72</v>
      </c>
      <c r="E370">
        <v>70</v>
      </c>
      <c r="F370">
        <v>3.1</v>
      </c>
      <c r="G370" t="b">
        <v>1</v>
      </c>
      <c r="H370">
        <f>(Table1[[#This Row],[price]]*Table1[[#This Row],[units_sold]])</f>
        <v>86220.400000000009</v>
      </c>
      <c r="I370" t="str">
        <f>IF(Table1[[#This Row],[in_stock]]=TRUE,"Available","Out of stock")</f>
        <v>Available</v>
      </c>
      <c r="J370" t="str">
        <f>IF(Table1[[#This Row],[rating]]&gt;=4,"High",IF(Table1[[#This Row],[rating]]&gt;=2.5,"Medium","Low"))</f>
        <v>Medium</v>
      </c>
      <c r="K370" t="str">
        <f>IF(Table1[[#This Row],[price]]&lt;200,"Budget",IF(Table1[[#This Row],[price]]&lt;600,"Mid-Range",IF(Table1[[#This Row],[price]]&lt;1000,"Premium","Luxury")))</f>
        <v>Luxury</v>
      </c>
      <c r="L370" t="str">
        <f>IF(Table1[[#This Row],[units_sold]]&lt;50,"Very Low",IF(Table1[[#This Row],[units_sold]]&lt;150,"Low",IF(Table1[[#This Row],[units_sold]]&lt;300,"Medium","High")))</f>
        <v>Low</v>
      </c>
      <c r="M370" t="str">
        <f t="shared" si="11"/>
        <v>Normal</v>
      </c>
      <c r="N370">
        <f>(Table1[[#This Row],[price]]*0.7)</f>
        <v>862.20399999999995</v>
      </c>
    </row>
    <row r="371" spans="1:14" x14ac:dyDescent="0.35">
      <c r="A371" t="str">
        <f t="shared" si="10"/>
        <v>P370</v>
      </c>
      <c r="B371" t="s">
        <v>14</v>
      </c>
      <c r="C371" t="s">
        <v>9</v>
      </c>
      <c r="D371">
        <v>350.65</v>
      </c>
      <c r="E371">
        <v>90</v>
      </c>
      <c r="F371">
        <v>2.1</v>
      </c>
      <c r="G371" t="b">
        <v>1</v>
      </c>
      <c r="H371">
        <f>(Table1[[#This Row],[price]]*Table1[[#This Row],[units_sold]])</f>
        <v>31558.499999999996</v>
      </c>
      <c r="I371" t="str">
        <f>IF(Table1[[#This Row],[in_stock]]=TRUE,"Available","Out of stock")</f>
        <v>Available</v>
      </c>
      <c r="J371" t="str">
        <f>IF(Table1[[#This Row],[rating]]&gt;=4,"High",IF(Table1[[#This Row],[rating]]&gt;=2.5,"Medium","Low"))</f>
        <v>Low</v>
      </c>
      <c r="K371" t="str">
        <f>IF(Table1[[#This Row],[price]]&lt;200,"Budget",IF(Table1[[#This Row],[price]]&lt;600,"Mid-Range",IF(Table1[[#This Row],[price]]&lt;1000,"Premium","Luxury")))</f>
        <v>Mid-Range</v>
      </c>
      <c r="L371" t="str">
        <f>IF(Table1[[#This Row],[units_sold]]&lt;50,"Very Low",IF(Table1[[#This Row],[units_sold]]&lt;150,"Low",IF(Table1[[#This Row],[units_sold]]&lt;300,"Medium","High")))</f>
        <v>Low</v>
      </c>
      <c r="M371" t="str">
        <f t="shared" si="11"/>
        <v>Normal</v>
      </c>
      <c r="N371">
        <f>(Table1[[#This Row],[price]]*0.7)</f>
        <v>245.45499999999996</v>
      </c>
    </row>
    <row r="372" spans="1:14" x14ac:dyDescent="0.35">
      <c r="A372" t="str">
        <f t="shared" si="10"/>
        <v>P371</v>
      </c>
      <c r="B372" t="s">
        <v>17</v>
      </c>
      <c r="C372" t="s">
        <v>7</v>
      </c>
      <c r="D372">
        <v>1363.96</v>
      </c>
      <c r="E372">
        <v>260</v>
      </c>
      <c r="F372">
        <v>4.3</v>
      </c>
      <c r="G372" t="b">
        <v>1</v>
      </c>
      <c r="H372">
        <f>(Table1[[#This Row],[price]]*Table1[[#This Row],[units_sold]])</f>
        <v>354629.60000000003</v>
      </c>
      <c r="I372" t="str">
        <f>IF(Table1[[#This Row],[in_stock]]=TRUE,"Available","Out of stock")</f>
        <v>Available</v>
      </c>
      <c r="J372" t="str">
        <f>IF(Table1[[#This Row],[rating]]&gt;=4,"High",IF(Table1[[#This Row],[rating]]&gt;=2.5,"Medium","Low"))</f>
        <v>High</v>
      </c>
      <c r="K372" t="str">
        <f>IF(Table1[[#This Row],[price]]&lt;200,"Budget",IF(Table1[[#This Row],[price]]&lt;600,"Mid-Range",IF(Table1[[#This Row],[price]]&lt;1000,"Premium","Luxury")))</f>
        <v>Luxury</v>
      </c>
      <c r="L372" t="str">
        <f>IF(Table1[[#This Row],[units_sold]]&lt;50,"Very Low",IF(Table1[[#This Row],[units_sold]]&lt;150,"Low",IF(Table1[[#This Row],[units_sold]]&lt;300,"Medium","High")))</f>
        <v>Medium</v>
      </c>
      <c r="M372" t="str">
        <f t="shared" si="11"/>
        <v>Normal</v>
      </c>
      <c r="N372">
        <f>(Table1[[#This Row],[price]]*0.7)</f>
        <v>954.77199999999993</v>
      </c>
    </row>
    <row r="373" spans="1:14" x14ac:dyDescent="0.35">
      <c r="A373" t="str">
        <f t="shared" si="10"/>
        <v>P372</v>
      </c>
      <c r="B373" t="s">
        <v>15</v>
      </c>
      <c r="C373" t="s">
        <v>7</v>
      </c>
      <c r="D373">
        <v>11.67</v>
      </c>
      <c r="E373">
        <v>126</v>
      </c>
      <c r="F373">
        <v>1.1000000000000001</v>
      </c>
      <c r="G373" t="b">
        <v>1</v>
      </c>
      <c r="H373">
        <f>(Table1[[#This Row],[price]]*Table1[[#This Row],[units_sold]])</f>
        <v>1470.42</v>
      </c>
      <c r="I373" t="str">
        <f>IF(Table1[[#This Row],[in_stock]]=TRUE,"Available","Out of stock")</f>
        <v>Available</v>
      </c>
      <c r="J373" t="str">
        <f>IF(Table1[[#This Row],[rating]]&gt;=4,"High",IF(Table1[[#This Row],[rating]]&gt;=2.5,"Medium","Low"))</f>
        <v>Low</v>
      </c>
      <c r="K373" t="str">
        <f>IF(Table1[[#This Row],[price]]&lt;200,"Budget",IF(Table1[[#This Row],[price]]&lt;600,"Mid-Range",IF(Table1[[#This Row],[price]]&lt;1000,"Premium","Luxury")))</f>
        <v>Budget</v>
      </c>
      <c r="L373" t="str">
        <f>IF(Table1[[#This Row],[units_sold]]&lt;50,"Very Low",IF(Table1[[#This Row],[units_sold]]&lt;150,"Low",IF(Table1[[#This Row],[units_sold]]&lt;300,"Medium","High")))</f>
        <v>Low</v>
      </c>
      <c r="M373" t="str">
        <f t="shared" si="11"/>
        <v>Normal</v>
      </c>
      <c r="N373">
        <f>(Table1[[#This Row],[price]]*0.7)</f>
        <v>8.1689999999999987</v>
      </c>
    </row>
    <row r="374" spans="1:14" x14ac:dyDescent="0.35">
      <c r="A374" t="str">
        <f t="shared" si="10"/>
        <v>P373</v>
      </c>
      <c r="B374" t="s">
        <v>17</v>
      </c>
      <c r="C374" t="s">
        <v>7</v>
      </c>
      <c r="D374">
        <v>838.71</v>
      </c>
      <c r="E374">
        <v>231</v>
      </c>
      <c r="F374">
        <v>2.5</v>
      </c>
      <c r="G374" t="b">
        <v>1</v>
      </c>
      <c r="H374">
        <f>(Table1[[#This Row],[price]]*Table1[[#This Row],[units_sold]])</f>
        <v>193742.01</v>
      </c>
      <c r="I374" t="str">
        <f>IF(Table1[[#This Row],[in_stock]]=TRUE,"Available","Out of stock")</f>
        <v>Available</v>
      </c>
      <c r="J374" t="str">
        <f>IF(Table1[[#This Row],[rating]]&gt;=4,"High",IF(Table1[[#This Row],[rating]]&gt;=2.5,"Medium","Low"))</f>
        <v>Medium</v>
      </c>
      <c r="K374" t="str">
        <f>IF(Table1[[#This Row],[price]]&lt;200,"Budget",IF(Table1[[#This Row],[price]]&lt;600,"Mid-Range",IF(Table1[[#This Row],[price]]&lt;1000,"Premium","Luxury")))</f>
        <v>Premium</v>
      </c>
      <c r="L374" t="str">
        <f>IF(Table1[[#This Row],[units_sold]]&lt;50,"Very Low",IF(Table1[[#This Row],[units_sold]]&lt;150,"Low",IF(Table1[[#This Row],[units_sold]]&lt;300,"Medium","High")))</f>
        <v>Medium</v>
      </c>
      <c r="M374" t="str">
        <f t="shared" si="11"/>
        <v>Normal</v>
      </c>
      <c r="N374">
        <f>(Table1[[#This Row],[price]]*0.7)</f>
        <v>587.09699999999998</v>
      </c>
    </row>
    <row r="375" spans="1:14" x14ac:dyDescent="0.35">
      <c r="A375" t="str">
        <f t="shared" si="10"/>
        <v>P374</v>
      </c>
      <c r="B375" t="s">
        <v>13</v>
      </c>
      <c r="C375" t="s">
        <v>9</v>
      </c>
      <c r="D375">
        <v>1137.3900000000001</v>
      </c>
      <c r="E375">
        <v>295</v>
      </c>
      <c r="F375">
        <v>2.2999999999999998</v>
      </c>
      <c r="G375" t="b">
        <v>1</v>
      </c>
      <c r="H375">
        <f>(Table1[[#This Row],[price]]*Table1[[#This Row],[units_sold]])</f>
        <v>335530.05000000005</v>
      </c>
      <c r="I375" t="str">
        <f>IF(Table1[[#This Row],[in_stock]]=TRUE,"Available","Out of stock")</f>
        <v>Available</v>
      </c>
      <c r="J375" t="str">
        <f>IF(Table1[[#This Row],[rating]]&gt;=4,"High",IF(Table1[[#This Row],[rating]]&gt;=2.5,"Medium","Low"))</f>
        <v>Low</v>
      </c>
      <c r="K375" t="str">
        <f>IF(Table1[[#This Row],[price]]&lt;200,"Budget",IF(Table1[[#This Row],[price]]&lt;600,"Mid-Range",IF(Table1[[#This Row],[price]]&lt;1000,"Premium","Luxury")))</f>
        <v>Luxury</v>
      </c>
      <c r="L375" t="str">
        <f>IF(Table1[[#This Row],[units_sold]]&lt;50,"Very Low",IF(Table1[[#This Row],[units_sold]]&lt;150,"Low",IF(Table1[[#This Row],[units_sold]]&lt;300,"Medium","High")))</f>
        <v>Medium</v>
      </c>
      <c r="M375" t="str">
        <f t="shared" si="11"/>
        <v>Normal</v>
      </c>
      <c r="N375">
        <f>(Table1[[#This Row],[price]]*0.7)</f>
        <v>796.173</v>
      </c>
    </row>
    <row r="376" spans="1:14" x14ac:dyDescent="0.35">
      <c r="A376" t="str">
        <f t="shared" si="10"/>
        <v>P375</v>
      </c>
      <c r="B376" t="s">
        <v>14</v>
      </c>
      <c r="C376" t="s">
        <v>9</v>
      </c>
      <c r="D376">
        <v>395.45</v>
      </c>
      <c r="E376">
        <v>498</v>
      </c>
      <c r="F376">
        <v>1.1000000000000001</v>
      </c>
      <c r="G376" t="b">
        <v>1</v>
      </c>
      <c r="H376">
        <f>(Table1[[#This Row],[price]]*Table1[[#This Row],[units_sold]])</f>
        <v>196934.1</v>
      </c>
      <c r="I376" t="str">
        <f>IF(Table1[[#This Row],[in_stock]]=TRUE,"Available","Out of stock")</f>
        <v>Available</v>
      </c>
      <c r="J376" t="str">
        <f>IF(Table1[[#This Row],[rating]]&gt;=4,"High",IF(Table1[[#This Row],[rating]]&gt;=2.5,"Medium","Low"))</f>
        <v>Low</v>
      </c>
      <c r="K376" t="str">
        <f>IF(Table1[[#This Row],[price]]&lt;200,"Budget",IF(Table1[[#This Row],[price]]&lt;600,"Mid-Range",IF(Table1[[#This Row],[price]]&lt;1000,"Premium","Luxury")))</f>
        <v>Mid-Range</v>
      </c>
      <c r="L376" t="str">
        <f>IF(Table1[[#This Row],[units_sold]]&lt;50,"Very Low",IF(Table1[[#This Row],[units_sold]]&lt;150,"Low",IF(Table1[[#This Row],[units_sold]]&lt;300,"Medium","High")))</f>
        <v>High</v>
      </c>
      <c r="M376" t="str">
        <f t="shared" si="11"/>
        <v>Normal</v>
      </c>
      <c r="N376">
        <f>(Table1[[#This Row],[price]]*0.7)</f>
        <v>276.815</v>
      </c>
    </row>
    <row r="377" spans="1:14" x14ac:dyDescent="0.35">
      <c r="A377" t="str">
        <f t="shared" si="10"/>
        <v>P376</v>
      </c>
      <c r="B377" t="s">
        <v>6</v>
      </c>
      <c r="C377" t="s">
        <v>7</v>
      </c>
      <c r="D377">
        <v>297.77</v>
      </c>
      <c r="E377">
        <v>419</v>
      </c>
      <c r="F377">
        <v>1.5</v>
      </c>
      <c r="G377" t="b">
        <v>0</v>
      </c>
      <c r="H377">
        <f>(Table1[[#This Row],[price]]*Table1[[#This Row],[units_sold]])</f>
        <v>124765.62999999999</v>
      </c>
      <c r="I377" t="str">
        <f>IF(Table1[[#This Row],[in_stock]]=TRUE,"Available","Out of stock")</f>
        <v>Out of stock</v>
      </c>
      <c r="J377" t="str">
        <f>IF(Table1[[#This Row],[rating]]&gt;=4,"High",IF(Table1[[#This Row],[rating]]&gt;=2.5,"Medium","Low"))</f>
        <v>Low</v>
      </c>
      <c r="K377" t="str">
        <f>IF(Table1[[#This Row],[price]]&lt;200,"Budget",IF(Table1[[#This Row],[price]]&lt;600,"Mid-Range",IF(Table1[[#This Row],[price]]&lt;1000,"Premium","Luxury")))</f>
        <v>Mid-Range</v>
      </c>
      <c r="L377" t="str">
        <f>IF(Table1[[#This Row],[units_sold]]&lt;50,"Very Low",IF(Table1[[#This Row],[units_sold]]&lt;150,"Low",IF(Table1[[#This Row],[units_sold]]&lt;300,"Medium","High")))</f>
        <v>High</v>
      </c>
      <c r="M377" t="str">
        <f t="shared" si="11"/>
        <v>High Demand - Out of Stock</v>
      </c>
      <c r="N377">
        <f>(Table1[[#This Row],[price]]*0.7)</f>
        <v>208.43899999999996</v>
      </c>
    </row>
    <row r="378" spans="1:14" x14ac:dyDescent="0.35">
      <c r="A378" t="str">
        <f t="shared" si="10"/>
        <v>P377</v>
      </c>
      <c r="B378" t="s">
        <v>17</v>
      </c>
      <c r="C378" t="s">
        <v>7</v>
      </c>
      <c r="D378">
        <v>135.31</v>
      </c>
      <c r="E378">
        <v>129</v>
      </c>
      <c r="F378">
        <v>2.7</v>
      </c>
      <c r="G378" t="b">
        <v>1</v>
      </c>
      <c r="H378">
        <f>(Table1[[#This Row],[price]]*Table1[[#This Row],[units_sold]])</f>
        <v>17454.990000000002</v>
      </c>
      <c r="I378" t="str">
        <f>IF(Table1[[#This Row],[in_stock]]=TRUE,"Available","Out of stock")</f>
        <v>Available</v>
      </c>
      <c r="J378" t="str">
        <f>IF(Table1[[#This Row],[rating]]&gt;=4,"High",IF(Table1[[#This Row],[rating]]&gt;=2.5,"Medium","Low"))</f>
        <v>Medium</v>
      </c>
      <c r="K378" t="str">
        <f>IF(Table1[[#This Row],[price]]&lt;200,"Budget",IF(Table1[[#This Row],[price]]&lt;600,"Mid-Range",IF(Table1[[#This Row],[price]]&lt;1000,"Premium","Luxury")))</f>
        <v>Budget</v>
      </c>
      <c r="L378" t="str">
        <f>IF(Table1[[#This Row],[units_sold]]&lt;50,"Very Low",IF(Table1[[#This Row],[units_sold]]&lt;150,"Low",IF(Table1[[#This Row],[units_sold]]&lt;300,"Medium","High")))</f>
        <v>Low</v>
      </c>
      <c r="M378" t="str">
        <f t="shared" si="11"/>
        <v>Normal</v>
      </c>
      <c r="N378">
        <f>(Table1[[#This Row],[price]]*0.7)</f>
        <v>94.716999999999999</v>
      </c>
    </row>
    <row r="379" spans="1:14" x14ac:dyDescent="0.35">
      <c r="A379" t="str">
        <f t="shared" si="10"/>
        <v>P378</v>
      </c>
      <c r="B379" t="s">
        <v>11</v>
      </c>
      <c r="C379" t="s">
        <v>9</v>
      </c>
      <c r="D379">
        <v>496.39</v>
      </c>
      <c r="E379">
        <v>280</v>
      </c>
      <c r="F379">
        <v>3</v>
      </c>
      <c r="G379" t="b">
        <v>1</v>
      </c>
      <c r="H379">
        <f>(Table1[[#This Row],[price]]*Table1[[#This Row],[units_sold]])</f>
        <v>138989.19999999998</v>
      </c>
      <c r="I379" t="str">
        <f>IF(Table1[[#This Row],[in_stock]]=TRUE,"Available","Out of stock")</f>
        <v>Available</v>
      </c>
      <c r="J379" t="str">
        <f>IF(Table1[[#This Row],[rating]]&gt;=4,"High",IF(Table1[[#This Row],[rating]]&gt;=2.5,"Medium","Low"))</f>
        <v>Medium</v>
      </c>
      <c r="K379" t="str">
        <f>IF(Table1[[#This Row],[price]]&lt;200,"Budget",IF(Table1[[#This Row],[price]]&lt;600,"Mid-Range",IF(Table1[[#This Row],[price]]&lt;1000,"Premium","Luxury")))</f>
        <v>Mid-Range</v>
      </c>
      <c r="L379" t="str">
        <f>IF(Table1[[#This Row],[units_sold]]&lt;50,"Very Low",IF(Table1[[#This Row],[units_sold]]&lt;150,"Low",IF(Table1[[#This Row],[units_sold]]&lt;300,"Medium","High")))</f>
        <v>Medium</v>
      </c>
      <c r="M379" t="str">
        <f t="shared" si="11"/>
        <v>Normal</v>
      </c>
      <c r="N379">
        <f>(Table1[[#This Row],[price]]*0.7)</f>
        <v>347.47299999999996</v>
      </c>
    </row>
    <row r="380" spans="1:14" x14ac:dyDescent="0.35">
      <c r="A380" t="str">
        <f t="shared" si="10"/>
        <v>P379</v>
      </c>
      <c r="B380" t="s">
        <v>10</v>
      </c>
      <c r="C380" t="s">
        <v>9</v>
      </c>
      <c r="D380">
        <v>844.17</v>
      </c>
      <c r="E380">
        <v>313</v>
      </c>
      <c r="F380">
        <v>2.6</v>
      </c>
      <c r="G380" t="b">
        <v>1</v>
      </c>
      <c r="H380">
        <f>(Table1[[#This Row],[price]]*Table1[[#This Row],[units_sold]])</f>
        <v>264225.20999999996</v>
      </c>
      <c r="I380" t="str">
        <f>IF(Table1[[#This Row],[in_stock]]=TRUE,"Available","Out of stock")</f>
        <v>Available</v>
      </c>
      <c r="J380" t="str">
        <f>IF(Table1[[#This Row],[rating]]&gt;=4,"High",IF(Table1[[#This Row],[rating]]&gt;=2.5,"Medium","Low"))</f>
        <v>Medium</v>
      </c>
      <c r="K380" t="str">
        <f>IF(Table1[[#This Row],[price]]&lt;200,"Budget",IF(Table1[[#This Row],[price]]&lt;600,"Mid-Range",IF(Table1[[#This Row],[price]]&lt;1000,"Premium","Luxury")))</f>
        <v>Premium</v>
      </c>
      <c r="L380" t="str">
        <f>IF(Table1[[#This Row],[units_sold]]&lt;50,"Very Low",IF(Table1[[#This Row],[units_sold]]&lt;150,"Low",IF(Table1[[#This Row],[units_sold]]&lt;300,"Medium","High")))</f>
        <v>High</v>
      </c>
      <c r="M380" t="str">
        <f t="shared" si="11"/>
        <v>Normal</v>
      </c>
      <c r="N380">
        <f>(Table1[[#This Row],[price]]*0.7)</f>
        <v>590.91899999999998</v>
      </c>
    </row>
    <row r="381" spans="1:14" x14ac:dyDescent="0.35">
      <c r="A381" t="str">
        <f t="shared" si="10"/>
        <v>P380</v>
      </c>
      <c r="B381" t="s">
        <v>13</v>
      </c>
      <c r="C381" t="s">
        <v>9</v>
      </c>
      <c r="D381">
        <v>182.61</v>
      </c>
      <c r="E381">
        <v>100</v>
      </c>
      <c r="F381">
        <v>3.1</v>
      </c>
      <c r="G381" t="b">
        <v>0</v>
      </c>
      <c r="H381">
        <f>(Table1[[#This Row],[price]]*Table1[[#This Row],[units_sold]])</f>
        <v>18261</v>
      </c>
      <c r="I381" t="str">
        <f>IF(Table1[[#This Row],[in_stock]]=TRUE,"Available","Out of stock")</f>
        <v>Out of stock</v>
      </c>
      <c r="J381" t="str">
        <f>IF(Table1[[#This Row],[rating]]&gt;=4,"High",IF(Table1[[#This Row],[rating]]&gt;=2.5,"Medium","Low"))</f>
        <v>Medium</v>
      </c>
      <c r="K381" t="str">
        <f>IF(Table1[[#This Row],[price]]&lt;200,"Budget",IF(Table1[[#This Row],[price]]&lt;600,"Mid-Range",IF(Table1[[#This Row],[price]]&lt;1000,"Premium","Luxury")))</f>
        <v>Budget</v>
      </c>
      <c r="L381" t="str">
        <f>IF(Table1[[#This Row],[units_sold]]&lt;50,"Very Low",IF(Table1[[#This Row],[units_sold]]&lt;150,"Low",IF(Table1[[#This Row],[units_sold]]&lt;300,"Medium","High")))</f>
        <v>Low</v>
      </c>
      <c r="M381" t="str">
        <f t="shared" si="11"/>
        <v>Normal</v>
      </c>
      <c r="N381">
        <f>(Table1[[#This Row],[price]]*0.7)</f>
        <v>127.827</v>
      </c>
    </row>
    <row r="382" spans="1:14" x14ac:dyDescent="0.35">
      <c r="A382" t="str">
        <f t="shared" si="10"/>
        <v>P381</v>
      </c>
      <c r="B382" t="s">
        <v>16</v>
      </c>
      <c r="C382" t="s">
        <v>9</v>
      </c>
      <c r="D382">
        <v>571.28</v>
      </c>
      <c r="E382">
        <v>326</v>
      </c>
      <c r="F382">
        <v>3.4</v>
      </c>
      <c r="G382" t="b">
        <v>1</v>
      </c>
      <c r="H382">
        <f>(Table1[[#This Row],[price]]*Table1[[#This Row],[units_sold]])</f>
        <v>186237.28</v>
      </c>
      <c r="I382" t="str">
        <f>IF(Table1[[#This Row],[in_stock]]=TRUE,"Available","Out of stock")</f>
        <v>Available</v>
      </c>
      <c r="J382" t="str">
        <f>IF(Table1[[#This Row],[rating]]&gt;=4,"High",IF(Table1[[#This Row],[rating]]&gt;=2.5,"Medium","Low"))</f>
        <v>Medium</v>
      </c>
      <c r="K382" t="str">
        <f>IF(Table1[[#This Row],[price]]&lt;200,"Budget",IF(Table1[[#This Row],[price]]&lt;600,"Mid-Range",IF(Table1[[#This Row],[price]]&lt;1000,"Premium","Luxury")))</f>
        <v>Mid-Range</v>
      </c>
      <c r="L382" t="str">
        <f>IF(Table1[[#This Row],[units_sold]]&lt;50,"Very Low",IF(Table1[[#This Row],[units_sold]]&lt;150,"Low",IF(Table1[[#This Row],[units_sold]]&lt;300,"Medium","High")))</f>
        <v>High</v>
      </c>
      <c r="M382" t="str">
        <f t="shared" si="11"/>
        <v>Normal</v>
      </c>
      <c r="N382">
        <f>(Table1[[#This Row],[price]]*0.7)</f>
        <v>399.89599999999996</v>
      </c>
    </row>
    <row r="383" spans="1:14" x14ac:dyDescent="0.35">
      <c r="A383" t="str">
        <f t="shared" si="10"/>
        <v>P382</v>
      </c>
      <c r="B383" t="s">
        <v>6</v>
      </c>
      <c r="C383" t="s">
        <v>7</v>
      </c>
      <c r="D383">
        <v>23.52</v>
      </c>
      <c r="E383">
        <v>297</v>
      </c>
      <c r="F383">
        <v>1</v>
      </c>
      <c r="G383" t="b">
        <v>1</v>
      </c>
      <c r="H383">
        <f>(Table1[[#This Row],[price]]*Table1[[#This Row],[units_sold]])</f>
        <v>6985.44</v>
      </c>
      <c r="I383" t="str">
        <f>IF(Table1[[#This Row],[in_stock]]=TRUE,"Available","Out of stock")</f>
        <v>Available</v>
      </c>
      <c r="J383" t="str">
        <f>IF(Table1[[#This Row],[rating]]&gt;=4,"High",IF(Table1[[#This Row],[rating]]&gt;=2.5,"Medium","Low"))</f>
        <v>Low</v>
      </c>
      <c r="K383" t="str">
        <f>IF(Table1[[#This Row],[price]]&lt;200,"Budget",IF(Table1[[#This Row],[price]]&lt;600,"Mid-Range",IF(Table1[[#This Row],[price]]&lt;1000,"Premium","Luxury")))</f>
        <v>Budget</v>
      </c>
      <c r="L383" t="str">
        <f>IF(Table1[[#This Row],[units_sold]]&lt;50,"Very Low",IF(Table1[[#This Row],[units_sold]]&lt;150,"Low",IF(Table1[[#This Row],[units_sold]]&lt;300,"Medium","High")))</f>
        <v>Medium</v>
      </c>
      <c r="M383" t="str">
        <f t="shared" si="11"/>
        <v>Normal</v>
      </c>
      <c r="N383">
        <f>(Table1[[#This Row],[price]]*0.7)</f>
        <v>16.463999999999999</v>
      </c>
    </row>
    <row r="384" spans="1:14" x14ac:dyDescent="0.35">
      <c r="A384" t="str">
        <f t="shared" si="10"/>
        <v>P383</v>
      </c>
      <c r="B384" t="s">
        <v>13</v>
      </c>
      <c r="C384" t="s">
        <v>9</v>
      </c>
      <c r="D384">
        <v>1229.83</v>
      </c>
      <c r="E384">
        <v>182</v>
      </c>
      <c r="F384">
        <v>2.9</v>
      </c>
      <c r="G384" t="b">
        <v>1</v>
      </c>
      <c r="H384">
        <f>(Table1[[#This Row],[price]]*Table1[[#This Row],[units_sold]])</f>
        <v>223829.06</v>
      </c>
      <c r="I384" t="str">
        <f>IF(Table1[[#This Row],[in_stock]]=TRUE,"Available","Out of stock")</f>
        <v>Available</v>
      </c>
      <c r="J384" t="str">
        <f>IF(Table1[[#This Row],[rating]]&gt;=4,"High",IF(Table1[[#This Row],[rating]]&gt;=2.5,"Medium","Low"))</f>
        <v>Medium</v>
      </c>
      <c r="K384" t="str">
        <f>IF(Table1[[#This Row],[price]]&lt;200,"Budget",IF(Table1[[#This Row],[price]]&lt;600,"Mid-Range",IF(Table1[[#This Row],[price]]&lt;1000,"Premium","Luxury")))</f>
        <v>Luxury</v>
      </c>
      <c r="L384" t="str">
        <f>IF(Table1[[#This Row],[units_sold]]&lt;50,"Very Low",IF(Table1[[#This Row],[units_sold]]&lt;150,"Low",IF(Table1[[#This Row],[units_sold]]&lt;300,"Medium","High")))</f>
        <v>Medium</v>
      </c>
      <c r="M384" t="str">
        <f t="shared" si="11"/>
        <v>Normal</v>
      </c>
      <c r="N384">
        <f>(Table1[[#This Row],[price]]*0.7)</f>
        <v>860.88099999999986</v>
      </c>
    </row>
    <row r="385" spans="1:14" x14ac:dyDescent="0.35">
      <c r="A385" t="str">
        <f t="shared" si="10"/>
        <v>P384</v>
      </c>
      <c r="B385" t="s">
        <v>10</v>
      </c>
      <c r="C385" t="s">
        <v>9</v>
      </c>
      <c r="D385">
        <v>201.39</v>
      </c>
      <c r="E385">
        <v>174</v>
      </c>
      <c r="F385">
        <v>4.9000000000000004</v>
      </c>
      <c r="G385" t="b">
        <v>1</v>
      </c>
      <c r="H385">
        <f>(Table1[[#This Row],[price]]*Table1[[#This Row],[units_sold]])</f>
        <v>35041.86</v>
      </c>
      <c r="I385" t="str">
        <f>IF(Table1[[#This Row],[in_stock]]=TRUE,"Available","Out of stock")</f>
        <v>Available</v>
      </c>
      <c r="J385" t="str">
        <f>IF(Table1[[#This Row],[rating]]&gt;=4,"High",IF(Table1[[#This Row],[rating]]&gt;=2.5,"Medium","Low"))</f>
        <v>High</v>
      </c>
      <c r="K385" t="str">
        <f>IF(Table1[[#This Row],[price]]&lt;200,"Budget",IF(Table1[[#This Row],[price]]&lt;600,"Mid-Range",IF(Table1[[#This Row],[price]]&lt;1000,"Premium","Luxury")))</f>
        <v>Mid-Range</v>
      </c>
      <c r="L385" t="str">
        <f>IF(Table1[[#This Row],[units_sold]]&lt;50,"Very Low",IF(Table1[[#This Row],[units_sold]]&lt;150,"Low",IF(Table1[[#This Row],[units_sold]]&lt;300,"Medium","High")))</f>
        <v>Medium</v>
      </c>
      <c r="M385" t="str">
        <f t="shared" si="11"/>
        <v>Normal</v>
      </c>
      <c r="N385">
        <f>(Table1[[#This Row],[price]]*0.7)</f>
        <v>140.97299999999998</v>
      </c>
    </row>
    <row r="386" spans="1:14" x14ac:dyDescent="0.35">
      <c r="A386" t="str">
        <f t="shared" ref="A386:A449" si="12">"P"&amp;TEXT(ROW()-1,"000")</f>
        <v>P385</v>
      </c>
      <c r="B386" t="s">
        <v>14</v>
      </c>
      <c r="C386" t="s">
        <v>9</v>
      </c>
      <c r="D386">
        <v>432.18</v>
      </c>
      <c r="E386">
        <v>316</v>
      </c>
      <c r="F386">
        <v>3.1</v>
      </c>
      <c r="G386" t="b">
        <v>1</v>
      </c>
      <c r="H386">
        <f>(Table1[[#This Row],[price]]*Table1[[#This Row],[units_sold]])</f>
        <v>136568.88</v>
      </c>
      <c r="I386" t="str">
        <f>IF(Table1[[#This Row],[in_stock]]=TRUE,"Available","Out of stock")</f>
        <v>Available</v>
      </c>
      <c r="J386" t="str">
        <f>IF(Table1[[#This Row],[rating]]&gt;=4,"High",IF(Table1[[#This Row],[rating]]&gt;=2.5,"Medium","Low"))</f>
        <v>Medium</v>
      </c>
      <c r="K386" t="str">
        <f>IF(Table1[[#This Row],[price]]&lt;200,"Budget",IF(Table1[[#This Row],[price]]&lt;600,"Mid-Range",IF(Table1[[#This Row],[price]]&lt;1000,"Premium","Luxury")))</f>
        <v>Mid-Range</v>
      </c>
      <c r="L386" t="str">
        <f>IF(Table1[[#This Row],[units_sold]]&lt;50,"Very Low",IF(Table1[[#This Row],[units_sold]]&lt;150,"Low",IF(Table1[[#This Row],[units_sold]]&lt;300,"Medium","High")))</f>
        <v>High</v>
      </c>
      <c r="M386" t="str">
        <f t="shared" ref="M386:M449" si="13">IF(AND(E386&gt;300,G386=FALSE),"High Demand - Out of Stock","Normal")</f>
        <v>Normal</v>
      </c>
      <c r="N386">
        <f>(Table1[[#This Row],[price]]*0.7)</f>
        <v>302.52600000000001</v>
      </c>
    </row>
    <row r="387" spans="1:14" x14ac:dyDescent="0.35">
      <c r="A387" t="str">
        <f t="shared" si="12"/>
        <v>P386</v>
      </c>
      <c r="B387" t="s">
        <v>10</v>
      </c>
      <c r="C387" t="s">
        <v>9</v>
      </c>
      <c r="D387">
        <v>37.46</v>
      </c>
      <c r="E387">
        <v>364</v>
      </c>
      <c r="F387">
        <v>3.7</v>
      </c>
      <c r="G387" t="b">
        <v>0</v>
      </c>
      <c r="H387">
        <f>(Table1[[#This Row],[price]]*Table1[[#This Row],[units_sold]])</f>
        <v>13635.44</v>
      </c>
      <c r="I387" t="str">
        <f>IF(Table1[[#This Row],[in_stock]]=TRUE,"Available","Out of stock")</f>
        <v>Out of stock</v>
      </c>
      <c r="J387" t="str">
        <f>IF(Table1[[#This Row],[rating]]&gt;=4,"High",IF(Table1[[#This Row],[rating]]&gt;=2.5,"Medium","Low"))</f>
        <v>Medium</v>
      </c>
      <c r="K387" t="str">
        <f>IF(Table1[[#This Row],[price]]&lt;200,"Budget",IF(Table1[[#This Row],[price]]&lt;600,"Mid-Range",IF(Table1[[#This Row],[price]]&lt;1000,"Premium","Luxury")))</f>
        <v>Budget</v>
      </c>
      <c r="L387" t="str">
        <f>IF(Table1[[#This Row],[units_sold]]&lt;50,"Very Low",IF(Table1[[#This Row],[units_sold]]&lt;150,"Low",IF(Table1[[#This Row],[units_sold]]&lt;300,"Medium","High")))</f>
        <v>High</v>
      </c>
      <c r="M387" t="str">
        <f t="shared" si="13"/>
        <v>High Demand - Out of Stock</v>
      </c>
      <c r="N387">
        <f>(Table1[[#This Row],[price]]*0.7)</f>
        <v>26.221999999999998</v>
      </c>
    </row>
    <row r="388" spans="1:14" x14ac:dyDescent="0.35">
      <c r="A388" t="str">
        <f t="shared" si="12"/>
        <v>P387</v>
      </c>
      <c r="B388" t="s">
        <v>12</v>
      </c>
      <c r="C388" t="s">
        <v>7</v>
      </c>
      <c r="D388">
        <v>654.04</v>
      </c>
      <c r="E388">
        <v>188</v>
      </c>
      <c r="F388">
        <v>2.2000000000000002</v>
      </c>
      <c r="G388" t="b">
        <v>1</v>
      </c>
      <c r="H388">
        <f>(Table1[[#This Row],[price]]*Table1[[#This Row],[units_sold]])</f>
        <v>122959.51999999999</v>
      </c>
      <c r="I388" t="str">
        <f>IF(Table1[[#This Row],[in_stock]]=TRUE,"Available","Out of stock")</f>
        <v>Available</v>
      </c>
      <c r="J388" t="str">
        <f>IF(Table1[[#This Row],[rating]]&gt;=4,"High",IF(Table1[[#This Row],[rating]]&gt;=2.5,"Medium","Low"))</f>
        <v>Low</v>
      </c>
      <c r="K388" t="str">
        <f>IF(Table1[[#This Row],[price]]&lt;200,"Budget",IF(Table1[[#This Row],[price]]&lt;600,"Mid-Range",IF(Table1[[#This Row],[price]]&lt;1000,"Premium","Luxury")))</f>
        <v>Premium</v>
      </c>
      <c r="L388" t="str">
        <f>IF(Table1[[#This Row],[units_sold]]&lt;50,"Very Low",IF(Table1[[#This Row],[units_sold]]&lt;150,"Low",IF(Table1[[#This Row],[units_sold]]&lt;300,"Medium","High")))</f>
        <v>Medium</v>
      </c>
      <c r="M388" t="str">
        <f t="shared" si="13"/>
        <v>Normal</v>
      </c>
      <c r="N388">
        <f>(Table1[[#This Row],[price]]*0.7)</f>
        <v>457.82799999999992</v>
      </c>
    </row>
    <row r="389" spans="1:14" x14ac:dyDescent="0.35">
      <c r="A389" t="str">
        <f t="shared" si="12"/>
        <v>P388</v>
      </c>
      <c r="B389" t="s">
        <v>10</v>
      </c>
      <c r="C389" t="s">
        <v>9</v>
      </c>
      <c r="D389">
        <v>1261.78</v>
      </c>
      <c r="E389">
        <v>57</v>
      </c>
      <c r="F389">
        <v>4.0999999999999996</v>
      </c>
      <c r="G389" t="b">
        <v>0</v>
      </c>
      <c r="H389">
        <f>(Table1[[#This Row],[price]]*Table1[[#This Row],[units_sold]])</f>
        <v>71921.459999999992</v>
      </c>
      <c r="I389" t="str">
        <f>IF(Table1[[#This Row],[in_stock]]=TRUE,"Available","Out of stock")</f>
        <v>Out of stock</v>
      </c>
      <c r="J389" t="str">
        <f>IF(Table1[[#This Row],[rating]]&gt;=4,"High",IF(Table1[[#This Row],[rating]]&gt;=2.5,"Medium","Low"))</f>
        <v>High</v>
      </c>
      <c r="K389" t="str">
        <f>IF(Table1[[#This Row],[price]]&lt;200,"Budget",IF(Table1[[#This Row],[price]]&lt;600,"Mid-Range",IF(Table1[[#This Row],[price]]&lt;1000,"Premium","Luxury")))</f>
        <v>Luxury</v>
      </c>
      <c r="L389" t="str">
        <f>IF(Table1[[#This Row],[units_sold]]&lt;50,"Very Low",IF(Table1[[#This Row],[units_sold]]&lt;150,"Low",IF(Table1[[#This Row],[units_sold]]&lt;300,"Medium","High")))</f>
        <v>Low</v>
      </c>
      <c r="M389" t="str">
        <f t="shared" si="13"/>
        <v>Normal</v>
      </c>
      <c r="N389">
        <f>(Table1[[#This Row],[price]]*0.7)</f>
        <v>883.24599999999998</v>
      </c>
    </row>
    <row r="390" spans="1:14" x14ac:dyDescent="0.35">
      <c r="A390" t="str">
        <f t="shared" si="12"/>
        <v>P389</v>
      </c>
      <c r="B390" t="s">
        <v>12</v>
      </c>
      <c r="C390" t="s">
        <v>7</v>
      </c>
      <c r="D390">
        <v>594.30999999999995</v>
      </c>
      <c r="E390">
        <v>31</v>
      </c>
      <c r="F390">
        <v>4.0999999999999996</v>
      </c>
      <c r="G390" t="b">
        <v>1</v>
      </c>
      <c r="H390">
        <f>(Table1[[#This Row],[price]]*Table1[[#This Row],[units_sold]])</f>
        <v>18423.609999999997</v>
      </c>
      <c r="I390" t="str">
        <f>IF(Table1[[#This Row],[in_stock]]=TRUE,"Available","Out of stock")</f>
        <v>Available</v>
      </c>
      <c r="J390" t="str">
        <f>IF(Table1[[#This Row],[rating]]&gt;=4,"High",IF(Table1[[#This Row],[rating]]&gt;=2.5,"Medium","Low"))</f>
        <v>High</v>
      </c>
      <c r="K390" t="str">
        <f>IF(Table1[[#This Row],[price]]&lt;200,"Budget",IF(Table1[[#This Row],[price]]&lt;600,"Mid-Range",IF(Table1[[#This Row],[price]]&lt;1000,"Premium","Luxury")))</f>
        <v>Mid-Range</v>
      </c>
      <c r="L390" t="str">
        <f>IF(Table1[[#This Row],[units_sold]]&lt;50,"Very Low",IF(Table1[[#This Row],[units_sold]]&lt;150,"Low",IF(Table1[[#This Row],[units_sold]]&lt;300,"Medium","High")))</f>
        <v>Very Low</v>
      </c>
      <c r="M390" t="str">
        <f t="shared" si="13"/>
        <v>Normal</v>
      </c>
      <c r="N390">
        <f>(Table1[[#This Row],[price]]*0.7)</f>
        <v>416.01699999999994</v>
      </c>
    </row>
    <row r="391" spans="1:14" x14ac:dyDescent="0.35">
      <c r="A391" t="str">
        <f t="shared" si="12"/>
        <v>P390</v>
      </c>
      <c r="B391" t="s">
        <v>14</v>
      </c>
      <c r="C391" t="s">
        <v>9</v>
      </c>
      <c r="D391">
        <v>277.45</v>
      </c>
      <c r="E391">
        <v>84</v>
      </c>
      <c r="F391">
        <v>3.1</v>
      </c>
      <c r="G391" t="b">
        <v>1</v>
      </c>
      <c r="H391">
        <f>(Table1[[#This Row],[price]]*Table1[[#This Row],[units_sold]])</f>
        <v>23305.8</v>
      </c>
      <c r="I391" t="str">
        <f>IF(Table1[[#This Row],[in_stock]]=TRUE,"Available","Out of stock")</f>
        <v>Available</v>
      </c>
      <c r="J391" t="str">
        <f>IF(Table1[[#This Row],[rating]]&gt;=4,"High",IF(Table1[[#This Row],[rating]]&gt;=2.5,"Medium","Low"))</f>
        <v>Medium</v>
      </c>
      <c r="K391" t="str">
        <f>IF(Table1[[#This Row],[price]]&lt;200,"Budget",IF(Table1[[#This Row],[price]]&lt;600,"Mid-Range",IF(Table1[[#This Row],[price]]&lt;1000,"Premium","Luxury")))</f>
        <v>Mid-Range</v>
      </c>
      <c r="L391" t="str">
        <f>IF(Table1[[#This Row],[units_sold]]&lt;50,"Very Low",IF(Table1[[#This Row],[units_sold]]&lt;150,"Low",IF(Table1[[#This Row],[units_sold]]&lt;300,"Medium","High")))</f>
        <v>Low</v>
      </c>
      <c r="M391" t="str">
        <f t="shared" si="13"/>
        <v>Normal</v>
      </c>
      <c r="N391">
        <f>(Table1[[#This Row],[price]]*0.7)</f>
        <v>194.21499999999997</v>
      </c>
    </row>
    <row r="392" spans="1:14" x14ac:dyDescent="0.35">
      <c r="A392" t="str">
        <f t="shared" si="12"/>
        <v>P391</v>
      </c>
      <c r="B392" t="s">
        <v>8</v>
      </c>
      <c r="C392" t="s">
        <v>9</v>
      </c>
      <c r="D392">
        <v>1133.01</v>
      </c>
      <c r="E392">
        <v>152</v>
      </c>
      <c r="F392">
        <v>4.9000000000000004</v>
      </c>
      <c r="G392" t="b">
        <v>1</v>
      </c>
      <c r="H392">
        <f>(Table1[[#This Row],[price]]*Table1[[#This Row],[units_sold]])</f>
        <v>172217.52</v>
      </c>
      <c r="I392" t="str">
        <f>IF(Table1[[#This Row],[in_stock]]=TRUE,"Available","Out of stock")</f>
        <v>Available</v>
      </c>
      <c r="J392" t="str">
        <f>IF(Table1[[#This Row],[rating]]&gt;=4,"High",IF(Table1[[#This Row],[rating]]&gt;=2.5,"Medium","Low"))</f>
        <v>High</v>
      </c>
      <c r="K392" t="str">
        <f>IF(Table1[[#This Row],[price]]&lt;200,"Budget",IF(Table1[[#This Row],[price]]&lt;600,"Mid-Range",IF(Table1[[#This Row],[price]]&lt;1000,"Premium","Luxury")))</f>
        <v>Luxury</v>
      </c>
      <c r="L392" t="str">
        <f>IF(Table1[[#This Row],[units_sold]]&lt;50,"Very Low",IF(Table1[[#This Row],[units_sold]]&lt;150,"Low",IF(Table1[[#This Row],[units_sold]]&lt;300,"Medium","High")))</f>
        <v>Medium</v>
      </c>
      <c r="M392" t="str">
        <f t="shared" si="13"/>
        <v>Normal</v>
      </c>
      <c r="N392">
        <f>(Table1[[#This Row],[price]]*0.7)</f>
        <v>793.10699999999997</v>
      </c>
    </row>
    <row r="393" spans="1:14" x14ac:dyDescent="0.35">
      <c r="A393" t="str">
        <f t="shared" si="12"/>
        <v>P392</v>
      </c>
      <c r="B393" t="s">
        <v>12</v>
      </c>
      <c r="C393" t="s">
        <v>7</v>
      </c>
      <c r="D393">
        <v>1185.32</v>
      </c>
      <c r="E393">
        <v>473</v>
      </c>
      <c r="F393">
        <v>1.5</v>
      </c>
      <c r="G393" t="b">
        <v>1</v>
      </c>
      <c r="H393">
        <f>(Table1[[#This Row],[price]]*Table1[[#This Row],[units_sold]])</f>
        <v>560656.36</v>
      </c>
      <c r="I393" t="str">
        <f>IF(Table1[[#This Row],[in_stock]]=TRUE,"Available","Out of stock")</f>
        <v>Available</v>
      </c>
      <c r="J393" t="str">
        <f>IF(Table1[[#This Row],[rating]]&gt;=4,"High",IF(Table1[[#This Row],[rating]]&gt;=2.5,"Medium","Low"))</f>
        <v>Low</v>
      </c>
      <c r="K393" t="str">
        <f>IF(Table1[[#This Row],[price]]&lt;200,"Budget",IF(Table1[[#This Row],[price]]&lt;600,"Mid-Range",IF(Table1[[#This Row],[price]]&lt;1000,"Premium","Luxury")))</f>
        <v>Luxury</v>
      </c>
      <c r="L393" t="str">
        <f>IF(Table1[[#This Row],[units_sold]]&lt;50,"Very Low",IF(Table1[[#This Row],[units_sold]]&lt;150,"Low",IF(Table1[[#This Row],[units_sold]]&lt;300,"Medium","High")))</f>
        <v>High</v>
      </c>
      <c r="M393" t="str">
        <f t="shared" si="13"/>
        <v>Normal</v>
      </c>
      <c r="N393">
        <f>(Table1[[#This Row],[price]]*0.7)</f>
        <v>829.72399999999993</v>
      </c>
    </row>
    <row r="394" spans="1:14" x14ac:dyDescent="0.35">
      <c r="A394" t="str">
        <f t="shared" si="12"/>
        <v>P393</v>
      </c>
      <c r="B394" t="s">
        <v>16</v>
      </c>
      <c r="C394" t="s">
        <v>9</v>
      </c>
      <c r="D394">
        <v>268.89</v>
      </c>
      <c r="E394">
        <v>36</v>
      </c>
      <c r="F394">
        <v>1.1000000000000001</v>
      </c>
      <c r="G394" t="b">
        <v>0</v>
      </c>
      <c r="H394">
        <f>(Table1[[#This Row],[price]]*Table1[[#This Row],[units_sold]])</f>
        <v>9680.0399999999991</v>
      </c>
      <c r="I394" t="str">
        <f>IF(Table1[[#This Row],[in_stock]]=TRUE,"Available","Out of stock")</f>
        <v>Out of stock</v>
      </c>
      <c r="J394" t="str">
        <f>IF(Table1[[#This Row],[rating]]&gt;=4,"High",IF(Table1[[#This Row],[rating]]&gt;=2.5,"Medium","Low"))</f>
        <v>Low</v>
      </c>
      <c r="K394" t="str">
        <f>IF(Table1[[#This Row],[price]]&lt;200,"Budget",IF(Table1[[#This Row],[price]]&lt;600,"Mid-Range",IF(Table1[[#This Row],[price]]&lt;1000,"Premium","Luxury")))</f>
        <v>Mid-Range</v>
      </c>
      <c r="L394" t="str">
        <f>IF(Table1[[#This Row],[units_sold]]&lt;50,"Very Low",IF(Table1[[#This Row],[units_sold]]&lt;150,"Low",IF(Table1[[#This Row],[units_sold]]&lt;300,"Medium","High")))</f>
        <v>Very Low</v>
      </c>
      <c r="M394" t="str">
        <f t="shared" si="13"/>
        <v>Normal</v>
      </c>
      <c r="N394">
        <f>(Table1[[#This Row],[price]]*0.7)</f>
        <v>188.22299999999998</v>
      </c>
    </row>
    <row r="395" spans="1:14" x14ac:dyDescent="0.35">
      <c r="A395" t="str">
        <f t="shared" si="12"/>
        <v>P394</v>
      </c>
      <c r="B395" t="s">
        <v>10</v>
      </c>
      <c r="C395" t="s">
        <v>9</v>
      </c>
      <c r="D395">
        <v>1158.57</v>
      </c>
      <c r="E395">
        <v>213</v>
      </c>
      <c r="F395">
        <v>4.0999999999999996</v>
      </c>
      <c r="G395" t="b">
        <v>0</v>
      </c>
      <c r="H395">
        <f>(Table1[[#This Row],[price]]*Table1[[#This Row],[units_sold]])</f>
        <v>246775.40999999997</v>
      </c>
      <c r="I395" t="str">
        <f>IF(Table1[[#This Row],[in_stock]]=TRUE,"Available","Out of stock")</f>
        <v>Out of stock</v>
      </c>
      <c r="J395" t="str">
        <f>IF(Table1[[#This Row],[rating]]&gt;=4,"High",IF(Table1[[#This Row],[rating]]&gt;=2.5,"Medium","Low"))</f>
        <v>High</v>
      </c>
      <c r="K395" t="str">
        <f>IF(Table1[[#This Row],[price]]&lt;200,"Budget",IF(Table1[[#This Row],[price]]&lt;600,"Mid-Range",IF(Table1[[#This Row],[price]]&lt;1000,"Premium","Luxury")))</f>
        <v>Luxury</v>
      </c>
      <c r="L395" t="str">
        <f>IF(Table1[[#This Row],[units_sold]]&lt;50,"Very Low",IF(Table1[[#This Row],[units_sold]]&lt;150,"Low",IF(Table1[[#This Row],[units_sold]]&lt;300,"Medium","High")))</f>
        <v>Medium</v>
      </c>
      <c r="M395" t="str">
        <f t="shared" si="13"/>
        <v>Normal</v>
      </c>
      <c r="N395">
        <f>(Table1[[#This Row],[price]]*0.7)</f>
        <v>810.99899999999991</v>
      </c>
    </row>
    <row r="396" spans="1:14" x14ac:dyDescent="0.35">
      <c r="A396" t="str">
        <f t="shared" si="12"/>
        <v>P395</v>
      </c>
      <c r="B396" t="s">
        <v>10</v>
      </c>
      <c r="C396" t="s">
        <v>9</v>
      </c>
      <c r="D396">
        <v>1421.47</v>
      </c>
      <c r="E396">
        <v>414</v>
      </c>
      <c r="F396">
        <v>4.2</v>
      </c>
      <c r="G396" t="b">
        <v>0</v>
      </c>
      <c r="H396">
        <f>(Table1[[#This Row],[price]]*Table1[[#This Row],[units_sold]])</f>
        <v>588488.57999999996</v>
      </c>
      <c r="I396" t="str">
        <f>IF(Table1[[#This Row],[in_stock]]=TRUE,"Available","Out of stock")</f>
        <v>Out of stock</v>
      </c>
      <c r="J396" t="str">
        <f>IF(Table1[[#This Row],[rating]]&gt;=4,"High",IF(Table1[[#This Row],[rating]]&gt;=2.5,"Medium","Low"))</f>
        <v>High</v>
      </c>
      <c r="K396" t="str">
        <f>IF(Table1[[#This Row],[price]]&lt;200,"Budget",IF(Table1[[#This Row],[price]]&lt;600,"Mid-Range",IF(Table1[[#This Row],[price]]&lt;1000,"Premium","Luxury")))</f>
        <v>Luxury</v>
      </c>
      <c r="L396" t="str">
        <f>IF(Table1[[#This Row],[units_sold]]&lt;50,"Very Low",IF(Table1[[#This Row],[units_sold]]&lt;150,"Low",IF(Table1[[#This Row],[units_sold]]&lt;300,"Medium","High")))</f>
        <v>High</v>
      </c>
      <c r="M396" t="str">
        <f t="shared" si="13"/>
        <v>High Demand - Out of Stock</v>
      </c>
      <c r="N396">
        <f>(Table1[[#This Row],[price]]*0.7)</f>
        <v>995.029</v>
      </c>
    </row>
    <row r="397" spans="1:14" x14ac:dyDescent="0.35">
      <c r="A397" t="str">
        <f t="shared" si="12"/>
        <v>P396</v>
      </c>
      <c r="B397" t="s">
        <v>16</v>
      </c>
      <c r="C397" t="s">
        <v>9</v>
      </c>
      <c r="D397">
        <v>257.89999999999998</v>
      </c>
      <c r="E397">
        <v>408</v>
      </c>
      <c r="F397">
        <v>1.5</v>
      </c>
      <c r="G397" t="b">
        <v>1</v>
      </c>
      <c r="H397">
        <f>(Table1[[#This Row],[price]]*Table1[[#This Row],[units_sold]])</f>
        <v>105223.2</v>
      </c>
      <c r="I397" t="str">
        <f>IF(Table1[[#This Row],[in_stock]]=TRUE,"Available","Out of stock")</f>
        <v>Available</v>
      </c>
      <c r="J397" t="str">
        <f>IF(Table1[[#This Row],[rating]]&gt;=4,"High",IF(Table1[[#This Row],[rating]]&gt;=2.5,"Medium","Low"))</f>
        <v>Low</v>
      </c>
      <c r="K397" t="str">
        <f>IF(Table1[[#This Row],[price]]&lt;200,"Budget",IF(Table1[[#This Row],[price]]&lt;600,"Mid-Range",IF(Table1[[#This Row],[price]]&lt;1000,"Premium","Luxury")))</f>
        <v>Mid-Range</v>
      </c>
      <c r="L397" t="str">
        <f>IF(Table1[[#This Row],[units_sold]]&lt;50,"Very Low",IF(Table1[[#This Row],[units_sold]]&lt;150,"Low",IF(Table1[[#This Row],[units_sold]]&lt;300,"Medium","High")))</f>
        <v>High</v>
      </c>
      <c r="M397" t="str">
        <f t="shared" si="13"/>
        <v>Normal</v>
      </c>
      <c r="N397">
        <f>(Table1[[#This Row],[price]]*0.7)</f>
        <v>180.52999999999997</v>
      </c>
    </row>
    <row r="398" spans="1:14" x14ac:dyDescent="0.35">
      <c r="A398" t="str">
        <f t="shared" si="12"/>
        <v>P397</v>
      </c>
      <c r="B398" t="s">
        <v>11</v>
      </c>
      <c r="C398" t="s">
        <v>9</v>
      </c>
      <c r="D398">
        <v>1158.77</v>
      </c>
      <c r="E398">
        <v>364</v>
      </c>
      <c r="F398">
        <v>2.1</v>
      </c>
      <c r="G398" t="b">
        <v>1</v>
      </c>
      <c r="H398">
        <f>(Table1[[#This Row],[price]]*Table1[[#This Row],[units_sold]])</f>
        <v>421792.27999999997</v>
      </c>
      <c r="I398" t="str">
        <f>IF(Table1[[#This Row],[in_stock]]=TRUE,"Available","Out of stock")</f>
        <v>Available</v>
      </c>
      <c r="J398" t="str">
        <f>IF(Table1[[#This Row],[rating]]&gt;=4,"High",IF(Table1[[#This Row],[rating]]&gt;=2.5,"Medium","Low"))</f>
        <v>Low</v>
      </c>
      <c r="K398" t="str">
        <f>IF(Table1[[#This Row],[price]]&lt;200,"Budget",IF(Table1[[#This Row],[price]]&lt;600,"Mid-Range",IF(Table1[[#This Row],[price]]&lt;1000,"Premium","Luxury")))</f>
        <v>Luxury</v>
      </c>
      <c r="L398" t="str">
        <f>IF(Table1[[#This Row],[units_sold]]&lt;50,"Very Low",IF(Table1[[#This Row],[units_sold]]&lt;150,"Low",IF(Table1[[#This Row],[units_sold]]&lt;300,"Medium","High")))</f>
        <v>High</v>
      </c>
      <c r="M398" t="str">
        <f t="shared" si="13"/>
        <v>Normal</v>
      </c>
      <c r="N398">
        <f>(Table1[[#This Row],[price]]*0.7)</f>
        <v>811.1389999999999</v>
      </c>
    </row>
    <row r="399" spans="1:14" x14ac:dyDescent="0.35">
      <c r="A399" t="str">
        <f t="shared" si="12"/>
        <v>P398</v>
      </c>
      <c r="B399" t="s">
        <v>15</v>
      </c>
      <c r="C399" t="s">
        <v>7</v>
      </c>
      <c r="D399">
        <v>1065.77</v>
      </c>
      <c r="E399">
        <v>106</v>
      </c>
      <c r="F399">
        <v>1.1000000000000001</v>
      </c>
      <c r="G399" t="b">
        <v>1</v>
      </c>
      <c r="H399">
        <f>(Table1[[#This Row],[price]]*Table1[[#This Row],[units_sold]])</f>
        <v>112971.62</v>
      </c>
      <c r="I399" t="str">
        <f>IF(Table1[[#This Row],[in_stock]]=TRUE,"Available","Out of stock")</f>
        <v>Available</v>
      </c>
      <c r="J399" t="str">
        <f>IF(Table1[[#This Row],[rating]]&gt;=4,"High",IF(Table1[[#This Row],[rating]]&gt;=2.5,"Medium","Low"))</f>
        <v>Low</v>
      </c>
      <c r="K399" t="str">
        <f>IF(Table1[[#This Row],[price]]&lt;200,"Budget",IF(Table1[[#This Row],[price]]&lt;600,"Mid-Range",IF(Table1[[#This Row],[price]]&lt;1000,"Premium","Luxury")))</f>
        <v>Luxury</v>
      </c>
      <c r="L399" t="str">
        <f>IF(Table1[[#This Row],[units_sold]]&lt;50,"Very Low",IF(Table1[[#This Row],[units_sold]]&lt;150,"Low",IF(Table1[[#This Row],[units_sold]]&lt;300,"Medium","High")))</f>
        <v>Low</v>
      </c>
      <c r="M399" t="str">
        <f t="shared" si="13"/>
        <v>Normal</v>
      </c>
      <c r="N399">
        <f>(Table1[[#This Row],[price]]*0.7)</f>
        <v>746.03899999999999</v>
      </c>
    </row>
    <row r="400" spans="1:14" x14ac:dyDescent="0.35">
      <c r="A400" t="str">
        <f t="shared" si="12"/>
        <v>P399</v>
      </c>
      <c r="B400" t="s">
        <v>8</v>
      </c>
      <c r="C400" t="s">
        <v>9</v>
      </c>
      <c r="D400">
        <v>715.63</v>
      </c>
      <c r="E400">
        <v>414</v>
      </c>
      <c r="F400">
        <v>2.2000000000000002</v>
      </c>
      <c r="G400" t="b">
        <v>0</v>
      </c>
      <c r="H400">
        <f>(Table1[[#This Row],[price]]*Table1[[#This Row],[units_sold]])</f>
        <v>296270.82</v>
      </c>
      <c r="I400" t="str">
        <f>IF(Table1[[#This Row],[in_stock]]=TRUE,"Available","Out of stock")</f>
        <v>Out of stock</v>
      </c>
      <c r="J400" t="str">
        <f>IF(Table1[[#This Row],[rating]]&gt;=4,"High",IF(Table1[[#This Row],[rating]]&gt;=2.5,"Medium","Low"))</f>
        <v>Low</v>
      </c>
      <c r="K400" t="str">
        <f>IF(Table1[[#This Row],[price]]&lt;200,"Budget",IF(Table1[[#This Row],[price]]&lt;600,"Mid-Range",IF(Table1[[#This Row],[price]]&lt;1000,"Premium","Luxury")))</f>
        <v>Premium</v>
      </c>
      <c r="L400" t="str">
        <f>IF(Table1[[#This Row],[units_sold]]&lt;50,"Very Low",IF(Table1[[#This Row],[units_sold]]&lt;150,"Low",IF(Table1[[#This Row],[units_sold]]&lt;300,"Medium","High")))</f>
        <v>High</v>
      </c>
      <c r="M400" t="str">
        <f t="shared" si="13"/>
        <v>High Demand - Out of Stock</v>
      </c>
      <c r="N400">
        <f>(Table1[[#This Row],[price]]*0.7)</f>
        <v>500.94099999999997</v>
      </c>
    </row>
    <row r="401" spans="1:14" x14ac:dyDescent="0.35">
      <c r="A401" t="str">
        <f t="shared" si="12"/>
        <v>P400</v>
      </c>
      <c r="B401" t="s">
        <v>6</v>
      </c>
      <c r="C401" t="s">
        <v>7</v>
      </c>
      <c r="D401">
        <v>96.3</v>
      </c>
      <c r="E401">
        <v>342</v>
      </c>
      <c r="F401">
        <v>4.0999999999999996</v>
      </c>
      <c r="G401" t="b">
        <v>1</v>
      </c>
      <c r="H401">
        <f>(Table1[[#This Row],[price]]*Table1[[#This Row],[units_sold]])</f>
        <v>32934.6</v>
      </c>
      <c r="I401" t="str">
        <f>IF(Table1[[#This Row],[in_stock]]=TRUE,"Available","Out of stock")</f>
        <v>Available</v>
      </c>
      <c r="J401" t="str">
        <f>IF(Table1[[#This Row],[rating]]&gt;=4,"High",IF(Table1[[#This Row],[rating]]&gt;=2.5,"Medium","Low"))</f>
        <v>High</v>
      </c>
      <c r="K401" t="str">
        <f>IF(Table1[[#This Row],[price]]&lt;200,"Budget",IF(Table1[[#This Row],[price]]&lt;600,"Mid-Range",IF(Table1[[#This Row],[price]]&lt;1000,"Premium","Luxury")))</f>
        <v>Budget</v>
      </c>
      <c r="L401" t="str">
        <f>IF(Table1[[#This Row],[units_sold]]&lt;50,"Very Low",IF(Table1[[#This Row],[units_sold]]&lt;150,"Low",IF(Table1[[#This Row],[units_sold]]&lt;300,"Medium","High")))</f>
        <v>High</v>
      </c>
      <c r="M401" t="str">
        <f t="shared" si="13"/>
        <v>Normal</v>
      </c>
      <c r="N401">
        <f>(Table1[[#This Row],[price]]*0.7)</f>
        <v>67.41</v>
      </c>
    </row>
    <row r="402" spans="1:14" x14ac:dyDescent="0.35">
      <c r="A402" t="str">
        <f t="shared" si="12"/>
        <v>P401</v>
      </c>
      <c r="B402" t="s">
        <v>12</v>
      </c>
      <c r="C402" t="s">
        <v>7</v>
      </c>
      <c r="D402">
        <v>121.29</v>
      </c>
      <c r="E402">
        <v>220</v>
      </c>
      <c r="F402">
        <v>3.1</v>
      </c>
      <c r="G402" t="b">
        <v>1</v>
      </c>
      <c r="H402">
        <f>(Table1[[#This Row],[price]]*Table1[[#This Row],[units_sold]])</f>
        <v>26683.800000000003</v>
      </c>
      <c r="I402" t="str">
        <f>IF(Table1[[#This Row],[in_stock]]=TRUE,"Available","Out of stock")</f>
        <v>Available</v>
      </c>
      <c r="J402" t="str">
        <f>IF(Table1[[#This Row],[rating]]&gt;=4,"High",IF(Table1[[#This Row],[rating]]&gt;=2.5,"Medium","Low"))</f>
        <v>Medium</v>
      </c>
      <c r="K402" t="str">
        <f>IF(Table1[[#This Row],[price]]&lt;200,"Budget",IF(Table1[[#This Row],[price]]&lt;600,"Mid-Range",IF(Table1[[#This Row],[price]]&lt;1000,"Premium","Luxury")))</f>
        <v>Budget</v>
      </c>
      <c r="L402" t="str">
        <f>IF(Table1[[#This Row],[units_sold]]&lt;50,"Very Low",IF(Table1[[#This Row],[units_sold]]&lt;150,"Low",IF(Table1[[#This Row],[units_sold]]&lt;300,"Medium","High")))</f>
        <v>Medium</v>
      </c>
      <c r="M402" t="str">
        <f t="shared" si="13"/>
        <v>Normal</v>
      </c>
      <c r="N402">
        <f>(Table1[[#This Row],[price]]*0.7)</f>
        <v>84.903000000000006</v>
      </c>
    </row>
    <row r="403" spans="1:14" x14ac:dyDescent="0.35">
      <c r="A403" t="str">
        <f t="shared" si="12"/>
        <v>P402</v>
      </c>
      <c r="B403" t="s">
        <v>16</v>
      </c>
      <c r="C403" t="s">
        <v>9</v>
      </c>
      <c r="D403">
        <v>1280.0999999999999</v>
      </c>
      <c r="E403">
        <v>391</v>
      </c>
      <c r="F403">
        <v>2.4</v>
      </c>
      <c r="G403" t="b">
        <v>1</v>
      </c>
      <c r="H403">
        <f>(Table1[[#This Row],[price]]*Table1[[#This Row],[units_sold]])</f>
        <v>500519.1</v>
      </c>
      <c r="I403" t="str">
        <f>IF(Table1[[#This Row],[in_stock]]=TRUE,"Available","Out of stock")</f>
        <v>Available</v>
      </c>
      <c r="J403" t="str">
        <f>IF(Table1[[#This Row],[rating]]&gt;=4,"High",IF(Table1[[#This Row],[rating]]&gt;=2.5,"Medium","Low"))</f>
        <v>Low</v>
      </c>
      <c r="K403" t="str">
        <f>IF(Table1[[#This Row],[price]]&lt;200,"Budget",IF(Table1[[#This Row],[price]]&lt;600,"Mid-Range",IF(Table1[[#This Row],[price]]&lt;1000,"Premium","Luxury")))</f>
        <v>Luxury</v>
      </c>
      <c r="L403" t="str">
        <f>IF(Table1[[#This Row],[units_sold]]&lt;50,"Very Low",IF(Table1[[#This Row],[units_sold]]&lt;150,"Low",IF(Table1[[#This Row],[units_sold]]&lt;300,"Medium","High")))</f>
        <v>High</v>
      </c>
      <c r="M403" t="str">
        <f t="shared" si="13"/>
        <v>Normal</v>
      </c>
      <c r="N403">
        <f>(Table1[[#This Row],[price]]*0.7)</f>
        <v>896.06999999999994</v>
      </c>
    </row>
    <row r="404" spans="1:14" x14ac:dyDescent="0.35">
      <c r="A404" t="str">
        <f t="shared" si="12"/>
        <v>P403</v>
      </c>
      <c r="B404" t="s">
        <v>14</v>
      </c>
      <c r="C404" t="s">
        <v>9</v>
      </c>
      <c r="D404">
        <v>1485.32</v>
      </c>
      <c r="E404">
        <v>163</v>
      </c>
      <c r="F404">
        <v>2.5</v>
      </c>
      <c r="G404" t="b">
        <v>1</v>
      </c>
      <c r="H404">
        <f>(Table1[[#This Row],[price]]*Table1[[#This Row],[units_sold]])</f>
        <v>242107.16</v>
      </c>
      <c r="I404" t="str">
        <f>IF(Table1[[#This Row],[in_stock]]=TRUE,"Available","Out of stock")</f>
        <v>Available</v>
      </c>
      <c r="J404" t="str">
        <f>IF(Table1[[#This Row],[rating]]&gt;=4,"High",IF(Table1[[#This Row],[rating]]&gt;=2.5,"Medium","Low"))</f>
        <v>Medium</v>
      </c>
      <c r="K404" t="str">
        <f>IF(Table1[[#This Row],[price]]&lt;200,"Budget",IF(Table1[[#This Row],[price]]&lt;600,"Mid-Range",IF(Table1[[#This Row],[price]]&lt;1000,"Premium","Luxury")))</f>
        <v>Luxury</v>
      </c>
      <c r="L404" t="str">
        <f>IF(Table1[[#This Row],[units_sold]]&lt;50,"Very Low",IF(Table1[[#This Row],[units_sold]]&lt;150,"Low",IF(Table1[[#This Row],[units_sold]]&lt;300,"Medium","High")))</f>
        <v>Medium</v>
      </c>
      <c r="M404" t="str">
        <f t="shared" si="13"/>
        <v>Normal</v>
      </c>
      <c r="N404">
        <f>(Table1[[#This Row],[price]]*0.7)</f>
        <v>1039.7239999999999</v>
      </c>
    </row>
    <row r="405" spans="1:14" x14ac:dyDescent="0.35">
      <c r="A405" t="str">
        <f t="shared" si="12"/>
        <v>P404</v>
      </c>
      <c r="B405" t="s">
        <v>12</v>
      </c>
      <c r="C405" t="s">
        <v>7</v>
      </c>
      <c r="D405">
        <v>1017.32</v>
      </c>
      <c r="E405">
        <v>439</v>
      </c>
      <c r="F405">
        <v>1</v>
      </c>
      <c r="G405" t="b">
        <v>0</v>
      </c>
      <c r="H405">
        <f>(Table1[[#This Row],[price]]*Table1[[#This Row],[units_sold]])</f>
        <v>446603.48000000004</v>
      </c>
      <c r="I405" t="str">
        <f>IF(Table1[[#This Row],[in_stock]]=TRUE,"Available","Out of stock")</f>
        <v>Out of stock</v>
      </c>
      <c r="J405" t="str">
        <f>IF(Table1[[#This Row],[rating]]&gt;=4,"High",IF(Table1[[#This Row],[rating]]&gt;=2.5,"Medium","Low"))</f>
        <v>Low</v>
      </c>
      <c r="K405" t="str">
        <f>IF(Table1[[#This Row],[price]]&lt;200,"Budget",IF(Table1[[#This Row],[price]]&lt;600,"Mid-Range",IF(Table1[[#This Row],[price]]&lt;1000,"Premium","Luxury")))</f>
        <v>Luxury</v>
      </c>
      <c r="L405" t="str">
        <f>IF(Table1[[#This Row],[units_sold]]&lt;50,"Very Low",IF(Table1[[#This Row],[units_sold]]&lt;150,"Low",IF(Table1[[#This Row],[units_sold]]&lt;300,"Medium","High")))</f>
        <v>High</v>
      </c>
      <c r="M405" t="str">
        <f t="shared" si="13"/>
        <v>High Demand - Out of Stock</v>
      </c>
      <c r="N405">
        <f>(Table1[[#This Row],[price]]*0.7)</f>
        <v>712.12400000000002</v>
      </c>
    </row>
    <row r="406" spans="1:14" x14ac:dyDescent="0.35">
      <c r="A406" t="str">
        <f t="shared" si="12"/>
        <v>P405</v>
      </c>
      <c r="B406" t="s">
        <v>15</v>
      </c>
      <c r="C406" t="s">
        <v>7</v>
      </c>
      <c r="D406">
        <v>674.48</v>
      </c>
      <c r="E406">
        <v>220</v>
      </c>
      <c r="F406">
        <v>2.2000000000000002</v>
      </c>
      <c r="G406" t="b">
        <v>1</v>
      </c>
      <c r="H406">
        <f>(Table1[[#This Row],[price]]*Table1[[#This Row],[units_sold]])</f>
        <v>148385.60000000001</v>
      </c>
      <c r="I406" t="str">
        <f>IF(Table1[[#This Row],[in_stock]]=TRUE,"Available","Out of stock")</f>
        <v>Available</v>
      </c>
      <c r="J406" t="str">
        <f>IF(Table1[[#This Row],[rating]]&gt;=4,"High",IF(Table1[[#This Row],[rating]]&gt;=2.5,"Medium","Low"))</f>
        <v>Low</v>
      </c>
      <c r="K406" t="str">
        <f>IF(Table1[[#This Row],[price]]&lt;200,"Budget",IF(Table1[[#This Row],[price]]&lt;600,"Mid-Range",IF(Table1[[#This Row],[price]]&lt;1000,"Premium","Luxury")))</f>
        <v>Premium</v>
      </c>
      <c r="L406" t="str">
        <f>IF(Table1[[#This Row],[units_sold]]&lt;50,"Very Low",IF(Table1[[#This Row],[units_sold]]&lt;150,"Low",IF(Table1[[#This Row],[units_sold]]&lt;300,"Medium","High")))</f>
        <v>Medium</v>
      </c>
      <c r="M406" t="str">
        <f t="shared" si="13"/>
        <v>Normal</v>
      </c>
      <c r="N406">
        <f>(Table1[[#This Row],[price]]*0.7)</f>
        <v>472.13599999999997</v>
      </c>
    </row>
    <row r="407" spans="1:14" x14ac:dyDescent="0.35">
      <c r="A407" t="str">
        <f t="shared" si="12"/>
        <v>P406</v>
      </c>
      <c r="B407" t="s">
        <v>14</v>
      </c>
      <c r="C407" t="s">
        <v>9</v>
      </c>
      <c r="D407">
        <v>974.88</v>
      </c>
      <c r="E407">
        <v>270</v>
      </c>
      <c r="F407">
        <v>3.6</v>
      </c>
      <c r="G407" t="b">
        <v>1</v>
      </c>
      <c r="H407">
        <f>(Table1[[#This Row],[price]]*Table1[[#This Row],[units_sold]])</f>
        <v>263217.59999999998</v>
      </c>
      <c r="I407" t="str">
        <f>IF(Table1[[#This Row],[in_stock]]=TRUE,"Available","Out of stock")</f>
        <v>Available</v>
      </c>
      <c r="J407" t="str">
        <f>IF(Table1[[#This Row],[rating]]&gt;=4,"High",IF(Table1[[#This Row],[rating]]&gt;=2.5,"Medium","Low"))</f>
        <v>Medium</v>
      </c>
      <c r="K407" t="str">
        <f>IF(Table1[[#This Row],[price]]&lt;200,"Budget",IF(Table1[[#This Row],[price]]&lt;600,"Mid-Range",IF(Table1[[#This Row],[price]]&lt;1000,"Premium","Luxury")))</f>
        <v>Premium</v>
      </c>
      <c r="L407" t="str">
        <f>IF(Table1[[#This Row],[units_sold]]&lt;50,"Very Low",IF(Table1[[#This Row],[units_sold]]&lt;150,"Low",IF(Table1[[#This Row],[units_sold]]&lt;300,"Medium","High")))</f>
        <v>Medium</v>
      </c>
      <c r="M407" t="str">
        <f t="shared" si="13"/>
        <v>Normal</v>
      </c>
      <c r="N407">
        <f>(Table1[[#This Row],[price]]*0.7)</f>
        <v>682.41599999999994</v>
      </c>
    </row>
    <row r="408" spans="1:14" x14ac:dyDescent="0.35">
      <c r="A408" t="str">
        <f t="shared" si="12"/>
        <v>P407</v>
      </c>
      <c r="B408" t="s">
        <v>13</v>
      </c>
      <c r="C408" t="s">
        <v>9</v>
      </c>
      <c r="D408">
        <v>895.65</v>
      </c>
      <c r="E408">
        <v>120</v>
      </c>
      <c r="F408">
        <v>4.9000000000000004</v>
      </c>
      <c r="G408" t="b">
        <v>1</v>
      </c>
      <c r="H408">
        <f>(Table1[[#This Row],[price]]*Table1[[#This Row],[units_sold]])</f>
        <v>107478</v>
      </c>
      <c r="I408" t="str">
        <f>IF(Table1[[#This Row],[in_stock]]=TRUE,"Available","Out of stock")</f>
        <v>Available</v>
      </c>
      <c r="J408" t="str">
        <f>IF(Table1[[#This Row],[rating]]&gt;=4,"High",IF(Table1[[#This Row],[rating]]&gt;=2.5,"Medium","Low"))</f>
        <v>High</v>
      </c>
      <c r="K408" t="str">
        <f>IF(Table1[[#This Row],[price]]&lt;200,"Budget",IF(Table1[[#This Row],[price]]&lt;600,"Mid-Range",IF(Table1[[#This Row],[price]]&lt;1000,"Premium","Luxury")))</f>
        <v>Premium</v>
      </c>
      <c r="L408" t="str">
        <f>IF(Table1[[#This Row],[units_sold]]&lt;50,"Very Low",IF(Table1[[#This Row],[units_sold]]&lt;150,"Low",IF(Table1[[#This Row],[units_sold]]&lt;300,"Medium","High")))</f>
        <v>Low</v>
      </c>
      <c r="M408" t="str">
        <f t="shared" si="13"/>
        <v>Normal</v>
      </c>
      <c r="N408">
        <f>(Table1[[#This Row],[price]]*0.7)</f>
        <v>626.95499999999993</v>
      </c>
    </row>
    <row r="409" spans="1:14" x14ac:dyDescent="0.35">
      <c r="A409" t="str">
        <f t="shared" si="12"/>
        <v>P408</v>
      </c>
      <c r="B409" t="s">
        <v>10</v>
      </c>
      <c r="C409" t="s">
        <v>9</v>
      </c>
      <c r="D409">
        <v>581.58000000000004</v>
      </c>
      <c r="E409">
        <v>394</v>
      </c>
      <c r="F409">
        <v>4.4000000000000004</v>
      </c>
      <c r="G409" t="b">
        <v>1</v>
      </c>
      <c r="H409">
        <f>(Table1[[#This Row],[price]]*Table1[[#This Row],[units_sold]])</f>
        <v>229142.52000000002</v>
      </c>
      <c r="I409" t="str">
        <f>IF(Table1[[#This Row],[in_stock]]=TRUE,"Available","Out of stock")</f>
        <v>Available</v>
      </c>
      <c r="J409" t="str">
        <f>IF(Table1[[#This Row],[rating]]&gt;=4,"High",IF(Table1[[#This Row],[rating]]&gt;=2.5,"Medium","Low"))</f>
        <v>High</v>
      </c>
      <c r="K409" t="str">
        <f>IF(Table1[[#This Row],[price]]&lt;200,"Budget",IF(Table1[[#This Row],[price]]&lt;600,"Mid-Range",IF(Table1[[#This Row],[price]]&lt;1000,"Premium","Luxury")))</f>
        <v>Mid-Range</v>
      </c>
      <c r="L409" t="str">
        <f>IF(Table1[[#This Row],[units_sold]]&lt;50,"Very Low",IF(Table1[[#This Row],[units_sold]]&lt;150,"Low",IF(Table1[[#This Row],[units_sold]]&lt;300,"Medium","High")))</f>
        <v>High</v>
      </c>
      <c r="M409" t="str">
        <f t="shared" si="13"/>
        <v>Normal</v>
      </c>
      <c r="N409">
        <f>(Table1[[#This Row],[price]]*0.7)</f>
        <v>407.10599999999999</v>
      </c>
    </row>
    <row r="410" spans="1:14" x14ac:dyDescent="0.35">
      <c r="A410" t="str">
        <f t="shared" si="12"/>
        <v>P409</v>
      </c>
      <c r="B410" t="s">
        <v>13</v>
      </c>
      <c r="C410" t="s">
        <v>9</v>
      </c>
      <c r="D410">
        <v>107.78</v>
      </c>
      <c r="E410">
        <v>336</v>
      </c>
      <c r="F410">
        <v>1.1000000000000001</v>
      </c>
      <c r="G410" t="b">
        <v>1</v>
      </c>
      <c r="H410">
        <f>(Table1[[#This Row],[price]]*Table1[[#This Row],[units_sold]])</f>
        <v>36214.080000000002</v>
      </c>
      <c r="I410" t="str">
        <f>IF(Table1[[#This Row],[in_stock]]=TRUE,"Available","Out of stock")</f>
        <v>Available</v>
      </c>
      <c r="J410" t="str">
        <f>IF(Table1[[#This Row],[rating]]&gt;=4,"High",IF(Table1[[#This Row],[rating]]&gt;=2.5,"Medium","Low"))</f>
        <v>Low</v>
      </c>
      <c r="K410" t="str">
        <f>IF(Table1[[#This Row],[price]]&lt;200,"Budget",IF(Table1[[#This Row],[price]]&lt;600,"Mid-Range",IF(Table1[[#This Row],[price]]&lt;1000,"Premium","Luxury")))</f>
        <v>Budget</v>
      </c>
      <c r="L410" t="str">
        <f>IF(Table1[[#This Row],[units_sold]]&lt;50,"Very Low",IF(Table1[[#This Row],[units_sold]]&lt;150,"Low",IF(Table1[[#This Row],[units_sold]]&lt;300,"Medium","High")))</f>
        <v>High</v>
      </c>
      <c r="M410" t="str">
        <f t="shared" si="13"/>
        <v>Normal</v>
      </c>
      <c r="N410">
        <f>(Table1[[#This Row],[price]]*0.7)</f>
        <v>75.445999999999998</v>
      </c>
    </row>
    <row r="411" spans="1:14" x14ac:dyDescent="0.35">
      <c r="A411" t="str">
        <f t="shared" si="12"/>
        <v>P410</v>
      </c>
      <c r="B411" t="s">
        <v>12</v>
      </c>
      <c r="C411" t="s">
        <v>7</v>
      </c>
      <c r="D411">
        <v>1234.05</v>
      </c>
      <c r="E411">
        <v>400</v>
      </c>
      <c r="F411">
        <v>4.5999999999999996</v>
      </c>
      <c r="G411" t="b">
        <v>1</v>
      </c>
      <c r="H411">
        <f>(Table1[[#This Row],[price]]*Table1[[#This Row],[units_sold]])</f>
        <v>493620</v>
      </c>
      <c r="I411" t="str">
        <f>IF(Table1[[#This Row],[in_stock]]=TRUE,"Available","Out of stock")</f>
        <v>Available</v>
      </c>
      <c r="J411" t="str">
        <f>IF(Table1[[#This Row],[rating]]&gt;=4,"High",IF(Table1[[#This Row],[rating]]&gt;=2.5,"Medium","Low"))</f>
        <v>High</v>
      </c>
      <c r="K411" t="str">
        <f>IF(Table1[[#This Row],[price]]&lt;200,"Budget",IF(Table1[[#This Row],[price]]&lt;600,"Mid-Range",IF(Table1[[#This Row],[price]]&lt;1000,"Premium","Luxury")))</f>
        <v>Luxury</v>
      </c>
      <c r="L411" t="str">
        <f>IF(Table1[[#This Row],[units_sold]]&lt;50,"Very Low",IF(Table1[[#This Row],[units_sold]]&lt;150,"Low",IF(Table1[[#This Row],[units_sold]]&lt;300,"Medium","High")))</f>
        <v>High</v>
      </c>
      <c r="M411" t="str">
        <f t="shared" si="13"/>
        <v>Normal</v>
      </c>
      <c r="N411">
        <f>(Table1[[#This Row],[price]]*0.7)</f>
        <v>863.83499999999992</v>
      </c>
    </row>
    <row r="412" spans="1:14" x14ac:dyDescent="0.35">
      <c r="A412" t="str">
        <f t="shared" si="12"/>
        <v>P411</v>
      </c>
      <c r="B412" t="s">
        <v>15</v>
      </c>
      <c r="C412" t="s">
        <v>7</v>
      </c>
      <c r="D412">
        <v>564.03</v>
      </c>
      <c r="E412">
        <v>182</v>
      </c>
      <c r="F412">
        <v>4.0999999999999996</v>
      </c>
      <c r="G412" t="b">
        <v>0</v>
      </c>
      <c r="H412">
        <f>(Table1[[#This Row],[price]]*Table1[[#This Row],[units_sold]])</f>
        <v>102653.45999999999</v>
      </c>
      <c r="I412" t="str">
        <f>IF(Table1[[#This Row],[in_stock]]=TRUE,"Available","Out of stock")</f>
        <v>Out of stock</v>
      </c>
      <c r="J412" t="str">
        <f>IF(Table1[[#This Row],[rating]]&gt;=4,"High",IF(Table1[[#This Row],[rating]]&gt;=2.5,"Medium","Low"))</f>
        <v>High</v>
      </c>
      <c r="K412" t="str">
        <f>IF(Table1[[#This Row],[price]]&lt;200,"Budget",IF(Table1[[#This Row],[price]]&lt;600,"Mid-Range",IF(Table1[[#This Row],[price]]&lt;1000,"Premium","Luxury")))</f>
        <v>Mid-Range</v>
      </c>
      <c r="L412" t="str">
        <f>IF(Table1[[#This Row],[units_sold]]&lt;50,"Very Low",IF(Table1[[#This Row],[units_sold]]&lt;150,"Low",IF(Table1[[#This Row],[units_sold]]&lt;300,"Medium","High")))</f>
        <v>Medium</v>
      </c>
      <c r="M412" t="str">
        <f t="shared" si="13"/>
        <v>Normal</v>
      </c>
      <c r="N412">
        <f>(Table1[[#This Row],[price]]*0.7)</f>
        <v>394.82099999999997</v>
      </c>
    </row>
    <row r="413" spans="1:14" x14ac:dyDescent="0.35">
      <c r="A413" t="str">
        <f t="shared" si="12"/>
        <v>P412</v>
      </c>
      <c r="B413" t="s">
        <v>8</v>
      </c>
      <c r="C413" t="s">
        <v>9</v>
      </c>
      <c r="D413">
        <v>1229.99</v>
      </c>
      <c r="E413">
        <v>479</v>
      </c>
      <c r="F413">
        <v>4.0999999999999996</v>
      </c>
      <c r="G413" t="b">
        <v>0</v>
      </c>
      <c r="H413">
        <f>(Table1[[#This Row],[price]]*Table1[[#This Row],[units_sold]])</f>
        <v>589165.21</v>
      </c>
      <c r="I413" t="str">
        <f>IF(Table1[[#This Row],[in_stock]]=TRUE,"Available","Out of stock")</f>
        <v>Out of stock</v>
      </c>
      <c r="J413" t="str">
        <f>IF(Table1[[#This Row],[rating]]&gt;=4,"High",IF(Table1[[#This Row],[rating]]&gt;=2.5,"Medium","Low"))</f>
        <v>High</v>
      </c>
      <c r="K413" t="str">
        <f>IF(Table1[[#This Row],[price]]&lt;200,"Budget",IF(Table1[[#This Row],[price]]&lt;600,"Mid-Range",IF(Table1[[#This Row],[price]]&lt;1000,"Premium","Luxury")))</f>
        <v>Luxury</v>
      </c>
      <c r="L413" t="str">
        <f>IF(Table1[[#This Row],[units_sold]]&lt;50,"Very Low",IF(Table1[[#This Row],[units_sold]]&lt;150,"Low",IF(Table1[[#This Row],[units_sold]]&lt;300,"Medium","High")))</f>
        <v>High</v>
      </c>
      <c r="M413" t="str">
        <f t="shared" si="13"/>
        <v>High Demand - Out of Stock</v>
      </c>
      <c r="N413">
        <f>(Table1[[#This Row],[price]]*0.7)</f>
        <v>860.99299999999994</v>
      </c>
    </row>
    <row r="414" spans="1:14" x14ac:dyDescent="0.35">
      <c r="A414" t="str">
        <f t="shared" si="12"/>
        <v>P413</v>
      </c>
      <c r="B414" t="s">
        <v>12</v>
      </c>
      <c r="C414" t="s">
        <v>7</v>
      </c>
      <c r="D414">
        <v>386.24</v>
      </c>
      <c r="E414">
        <v>106</v>
      </c>
      <c r="F414">
        <v>2.8</v>
      </c>
      <c r="G414" t="b">
        <v>1</v>
      </c>
      <c r="H414">
        <f>(Table1[[#This Row],[price]]*Table1[[#This Row],[units_sold]])</f>
        <v>40941.440000000002</v>
      </c>
      <c r="I414" t="str">
        <f>IF(Table1[[#This Row],[in_stock]]=TRUE,"Available","Out of stock")</f>
        <v>Available</v>
      </c>
      <c r="J414" t="str">
        <f>IF(Table1[[#This Row],[rating]]&gt;=4,"High",IF(Table1[[#This Row],[rating]]&gt;=2.5,"Medium","Low"))</f>
        <v>Medium</v>
      </c>
      <c r="K414" t="str">
        <f>IF(Table1[[#This Row],[price]]&lt;200,"Budget",IF(Table1[[#This Row],[price]]&lt;600,"Mid-Range",IF(Table1[[#This Row],[price]]&lt;1000,"Premium","Luxury")))</f>
        <v>Mid-Range</v>
      </c>
      <c r="L414" t="str">
        <f>IF(Table1[[#This Row],[units_sold]]&lt;50,"Very Low",IF(Table1[[#This Row],[units_sold]]&lt;150,"Low",IF(Table1[[#This Row],[units_sold]]&lt;300,"Medium","High")))</f>
        <v>Low</v>
      </c>
      <c r="M414" t="str">
        <f t="shared" si="13"/>
        <v>Normal</v>
      </c>
      <c r="N414">
        <f>(Table1[[#This Row],[price]]*0.7)</f>
        <v>270.36799999999999</v>
      </c>
    </row>
    <row r="415" spans="1:14" x14ac:dyDescent="0.35">
      <c r="A415" t="str">
        <f t="shared" si="12"/>
        <v>P414</v>
      </c>
      <c r="B415" t="s">
        <v>16</v>
      </c>
      <c r="C415" t="s">
        <v>9</v>
      </c>
      <c r="D415">
        <v>11.53</v>
      </c>
      <c r="E415">
        <v>217</v>
      </c>
      <c r="F415">
        <v>2.6</v>
      </c>
      <c r="G415" t="b">
        <v>1</v>
      </c>
      <c r="H415">
        <f>(Table1[[#This Row],[price]]*Table1[[#This Row],[units_sold]])</f>
        <v>2502.0099999999998</v>
      </c>
      <c r="I415" t="str">
        <f>IF(Table1[[#This Row],[in_stock]]=TRUE,"Available","Out of stock")</f>
        <v>Available</v>
      </c>
      <c r="J415" t="str">
        <f>IF(Table1[[#This Row],[rating]]&gt;=4,"High",IF(Table1[[#This Row],[rating]]&gt;=2.5,"Medium","Low"))</f>
        <v>Medium</v>
      </c>
      <c r="K415" t="str">
        <f>IF(Table1[[#This Row],[price]]&lt;200,"Budget",IF(Table1[[#This Row],[price]]&lt;600,"Mid-Range",IF(Table1[[#This Row],[price]]&lt;1000,"Premium","Luxury")))</f>
        <v>Budget</v>
      </c>
      <c r="L415" t="str">
        <f>IF(Table1[[#This Row],[units_sold]]&lt;50,"Very Low",IF(Table1[[#This Row],[units_sold]]&lt;150,"Low",IF(Table1[[#This Row],[units_sold]]&lt;300,"Medium","High")))</f>
        <v>Medium</v>
      </c>
      <c r="M415" t="str">
        <f t="shared" si="13"/>
        <v>Normal</v>
      </c>
      <c r="N415">
        <f>(Table1[[#This Row],[price]]*0.7)</f>
        <v>8.0709999999999997</v>
      </c>
    </row>
    <row r="416" spans="1:14" x14ac:dyDescent="0.35">
      <c r="A416" t="str">
        <f t="shared" si="12"/>
        <v>P415</v>
      </c>
      <c r="B416" t="s">
        <v>17</v>
      </c>
      <c r="C416" t="s">
        <v>7</v>
      </c>
      <c r="D416">
        <v>246.82</v>
      </c>
      <c r="E416">
        <v>205</v>
      </c>
      <c r="F416">
        <v>2.2000000000000002</v>
      </c>
      <c r="G416" t="b">
        <v>0</v>
      </c>
      <c r="H416">
        <f>(Table1[[#This Row],[price]]*Table1[[#This Row],[units_sold]])</f>
        <v>50598.1</v>
      </c>
      <c r="I416" t="str">
        <f>IF(Table1[[#This Row],[in_stock]]=TRUE,"Available","Out of stock")</f>
        <v>Out of stock</v>
      </c>
      <c r="J416" t="str">
        <f>IF(Table1[[#This Row],[rating]]&gt;=4,"High",IF(Table1[[#This Row],[rating]]&gt;=2.5,"Medium","Low"))</f>
        <v>Low</v>
      </c>
      <c r="K416" t="str">
        <f>IF(Table1[[#This Row],[price]]&lt;200,"Budget",IF(Table1[[#This Row],[price]]&lt;600,"Mid-Range",IF(Table1[[#This Row],[price]]&lt;1000,"Premium","Luxury")))</f>
        <v>Mid-Range</v>
      </c>
      <c r="L416" t="str">
        <f>IF(Table1[[#This Row],[units_sold]]&lt;50,"Very Low",IF(Table1[[#This Row],[units_sold]]&lt;150,"Low",IF(Table1[[#This Row],[units_sold]]&lt;300,"Medium","High")))</f>
        <v>Medium</v>
      </c>
      <c r="M416" t="str">
        <f t="shared" si="13"/>
        <v>Normal</v>
      </c>
      <c r="N416">
        <f>(Table1[[#This Row],[price]]*0.7)</f>
        <v>172.77399999999997</v>
      </c>
    </row>
    <row r="417" spans="1:14" x14ac:dyDescent="0.35">
      <c r="A417" t="str">
        <f t="shared" si="12"/>
        <v>P416</v>
      </c>
      <c r="B417" t="s">
        <v>12</v>
      </c>
      <c r="C417" t="s">
        <v>7</v>
      </c>
      <c r="D417">
        <v>708.12</v>
      </c>
      <c r="E417">
        <v>70</v>
      </c>
      <c r="F417">
        <v>1.3</v>
      </c>
      <c r="G417" t="b">
        <v>1</v>
      </c>
      <c r="H417">
        <f>(Table1[[#This Row],[price]]*Table1[[#This Row],[units_sold]])</f>
        <v>49568.4</v>
      </c>
      <c r="I417" t="str">
        <f>IF(Table1[[#This Row],[in_stock]]=TRUE,"Available","Out of stock")</f>
        <v>Available</v>
      </c>
      <c r="J417" t="str">
        <f>IF(Table1[[#This Row],[rating]]&gt;=4,"High",IF(Table1[[#This Row],[rating]]&gt;=2.5,"Medium","Low"))</f>
        <v>Low</v>
      </c>
      <c r="K417" t="str">
        <f>IF(Table1[[#This Row],[price]]&lt;200,"Budget",IF(Table1[[#This Row],[price]]&lt;600,"Mid-Range",IF(Table1[[#This Row],[price]]&lt;1000,"Premium","Luxury")))</f>
        <v>Premium</v>
      </c>
      <c r="L417" t="str">
        <f>IF(Table1[[#This Row],[units_sold]]&lt;50,"Very Low",IF(Table1[[#This Row],[units_sold]]&lt;150,"Low",IF(Table1[[#This Row],[units_sold]]&lt;300,"Medium","High")))</f>
        <v>Low</v>
      </c>
      <c r="M417" t="str">
        <f t="shared" si="13"/>
        <v>Normal</v>
      </c>
      <c r="N417">
        <f>(Table1[[#This Row],[price]]*0.7)</f>
        <v>495.68399999999997</v>
      </c>
    </row>
    <row r="418" spans="1:14" x14ac:dyDescent="0.35">
      <c r="A418" t="str">
        <f t="shared" si="12"/>
        <v>P417</v>
      </c>
      <c r="B418" t="s">
        <v>10</v>
      </c>
      <c r="C418" t="s">
        <v>9</v>
      </c>
      <c r="D418">
        <v>1417.01</v>
      </c>
      <c r="E418">
        <v>44</v>
      </c>
      <c r="F418">
        <v>1.9</v>
      </c>
      <c r="G418" t="b">
        <v>1</v>
      </c>
      <c r="H418">
        <f>(Table1[[#This Row],[price]]*Table1[[#This Row],[units_sold]])</f>
        <v>62348.44</v>
      </c>
      <c r="I418" t="str">
        <f>IF(Table1[[#This Row],[in_stock]]=TRUE,"Available","Out of stock")</f>
        <v>Available</v>
      </c>
      <c r="J418" t="str">
        <f>IF(Table1[[#This Row],[rating]]&gt;=4,"High",IF(Table1[[#This Row],[rating]]&gt;=2.5,"Medium","Low"))</f>
        <v>Low</v>
      </c>
      <c r="K418" t="str">
        <f>IF(Table1[[#This Row],[price]]&lt;200,"Budget",IF(Table1[[#This Row],[price]]&lt;600,"Mid-Range",IF(Table1[[#This Row],[price]]&lt;1000,"Premium","Luxury")))</f>
        <v>Luxury</v>
      </c>
      <c r="L418" t="str">
        <f>IF(Table1[[#This Row],[units_sold]]&lt;50,"Very Low",IF(Table1[[#This Row],[units_sold]]&lt;150,"Low",IF(Table1[[#This Row],[units_sold]]&lt;300,"Medium","High")))</f>
        <v>Very Low</v>
      </c>
      <c r="M418" t="str">
        <f t="shared" si="13"/>
        <v>Normal</v>
      </c>
      <c r="N418">
        <f>(Table1[[#This Row],[price]]*0.7)</f>
        <v>991.90699999999993</v>
      </c>
    </row>
    <row r="419" spans="1:14" x14ac:dyDescent="0.35">
      <c r="A419" t="str">
        <f t="shared" si="12"/>
        <v>P418</v>
      </c>
      <c r="B419" t="s">
        <v>10</v>
      </c>
      <c r="C419" t="s">
        <v>9</v>
      </c>
      <c r="D419">
        <v>162.27000000000001</v>
      </c>
      <c r="E419">
        <v>329</v>
      </c>
      <c r="F419">
        <v>2</v>
      </c>
      <c r="G419" t="b">
        <v>1</v>
      </c>
      <c r="H419">
        <f>(Table1[[#This Row],[price]]*Table1[[#This Row],[units_sold]])</f>
        <v>53386.83</v>
      </c>
      <c r="I419" t="str">
        <f>IF(Table1[[#This Row],[in_stock]]=TRUE,"Available","Out of stock")</f>
        <v>Available</v>
      </c>
      <c r="J419" t="str">
        <f>IF(Table1[[#This Row],[rating]]&gt;=4,"High",IF(Table1[[#This Row],[rating]]&gt;=2.5,"Medium","Low"))</f>
        <v>Low</v>
      </c>
      <c r="K419" t="str">
        <f>IF(Table1[[#This Row],[price]]&lt;200,"Budget",IF(Table1[[#This Row],[price]]&lt;600,"Mid-Range",IF(Table1[[#This Row],[price]]&lt;1000,"Premium","Luxury")))</f>
        <v>Budget</v>
      </c>
      <c r="L419" t="str">
        <f>IF(Table1[[#This Row],[units_sold]]&lt;50,"Very Low",IF(Table1[[#This Row],[units_sold]]&lt;150,"Low",IF(Table1[[#This Row],[units_sold]]&lt;300,"Medium","High")))</f>
        <v>High</v>
      </c>
      <c r="M419" t="str">
        <f t="shared" si="13"/>
        <v>Normal</v>
      </c>
      <c r="N419">
        <f>(Table1[[#This Row],[price]]*0.7)</f>
        <v>113.589</v>
      </c>
    </row>
    <row r="420" spans="1:14" x14ac:dyDescent="0.35">
      <c r="A420" t="str">
        <f t="shared" si="12"/>
        <v>P419</v>
      </c>
      <c r="B420" t="s">
        <v>12</v>
      </c>
      <c r="C420" t="s">
        <v>7</v>
      </c>
      <c r="D420">
        <v>1282.77</v>
      </c>
      <c r="E420">
        <v>301</v>
      </c>
      <c r="F420">
        <v>2.9</v>
      </c>
      <c r="G420" t="b">
        <v>1</v>
      </c>
      <c r="H420">
        <f>(Table1[[#This Row],[price]]*Table1[[#This Row],[units_sold]])</f>
        <v>386113.77</v>
      </c>
      <c r="I420" t="str">
        <f>IF(Table1[[#This Row],[in_stock]]=TRUE,"Available","Out of stock")</f>
        <v>Available</v>
      </c>
      <c r="J420" t="str">
        <f>IF(Table1[[#This Row],[rating]]&gt;=4,"High",IF(Table1[[#This Row],[rating]]&gt;=2.5,"Medium","Low"))</f>
        <v>Medium</v>
      </c>
      <c r="K420" t="str">
        <f>IF(Table1[[#This Row],[price]]&lt;200,"Budget",IF(Table1[[#This Row],[price]]&lt;600,"Mid-Range",IF(Table1[[#This Row],[price]]&lt;1000,"Premium","Luxury")))</f>
        <v>Luxury</v>
      </c>
      <c r="L420" t="str">
        <f>IF(Table1[[#This Row],[units_sold]]&lt;50,"Very Low",IF(Table1[[#This Row],[units_sold]]&lt;150,"Low",IF(Table1[[#This Row],[units_sold]]&lt;300,"Medium","High")))</f>
        <v>High</v>
      </c>
      <c r="M420" t="str">
        <f t="shared" si="13"/>
        <v>Normal</v>
      </c>
      <c r="N420">
        <f>(Table1[[#This Row],[price]]*0.7)</f>
        <v>897.93899999999996</v>
      </c>
    </row>
    <row r="421" spans="1:14" x14ac:dyDescent="0.35">
      <c r="A421" t="str">
        <f t="shared" si="12"/>
        <v>P420</v>
      </c>
      <c r="B421" t="s">
        <v>14</v>
      </c>
      <c r="C421" t="s">
        <v>9</v>
      </c>
      <c r="D421">
        <v>795.27</v>
      </c>
      <c r="E421">
        <v>228</v>
      </c>
      <c r="F421">
        <v>4</v>
      </c>
      <c r="G421" t="b">
        <v>1</v>
      </c>
      <c r="H421">
        <f>(Table1[[#This Row],[price]]*Table1[[#This Row],[units_sold]])</f>
        <v>181321.56</v>
      </c>
      <c r="I421" t="str">
        <f>IF(Table1[[#This Row],[in_stock]]=TRUE,"Available","Out of stock")</f>
        <v>Available</v>
      </c>
      <c r="J421" t="str">
        <f>IF(Table1[[#This Row],[rating]]&gt;=4,"High",IF(Table1[[#This Row],[rating]]&gt;=2.5,"Medium","Low"))</f>
        <v>High</v>
      </c>
      <c r="K421" t="str">
        <f>IF(Table1[[#This Row],[price]]&lt;200,"Budget",IF(Table1[[#This Row],[price]]&lt;600,"Mid-Range",IF(Table1[[#This Row],[price]]&lt;1000,"Premium","Luxury")))</f>
        <v>Premium</v>
      </c>
      <c r="L421" t="str">
        <f>IF(Table1[[#This Row],[units_sold]]&lt;50,"Very Low",IF(Table1[[#This Row],[units_sold]]&lt;150,"Low",IF(Table1[[#This Row],[units_sold]]&lt;300,"Medium","High")))</f>
        <v>Medium</v>
      </c>
      <c r="M421" t="str">
        <f t="shared" si="13"/>
        <v>Normal</v>
      </c>
      <c r="N421">
        <f>(Table1[[#This Row],[price]]*0.7)</f>
        <v>556.68899999999996</v>
      </c>
    </row>
    <row r="422" spans="1:14" x14ac:dyDescent="0.35">
      <c r="A422" t="str">
        <f t="shared" si="12"/>
        <v>P421</v>
      </c>
      <c r="B422" t="s">
        <v>17</v>
      </c>
      <c r="C422" t="s">
        <v>7</v>
      </c>
      <c r="D422">
        <v>1240.6199999999999</v>
      </c>
      <c r="E422">
        <v>184</v>
      </c>
      <c r="F422">
        <v>2.9</v>
      </c>
      <c r="G422" t="b">
        <v>0</v>
      </c>
      <c r="H422">
        <f>(Table1[[#This Row],[price]]*Table1[[#This Row],[units_sold]])</f>
        <v>228274.08</v>
      </c>
      <c r="I422" t="str">
        <f>IF(Table1[[#This Row],[in_stock]]=TRUE,"Available","Out of stock")</f>
        <v>Out of stock</v>
      </c>
      <c r="J422" t="str">
        <f>IF(Table1[[#This Row],[rating]]&gt;=4,"High",IF(Table1[[#This Row],[rating]]&gt;=2.5,"Medium","Low"))</f>
        <v>Medium</v>
      </c>
      <c r="K422" t="str">
        <f>IF(Table1[[#This Row],[price]]&lt;200,"Budget",IF(Table1[[#This Row],[price]]&lt;600,"Mid-Range",IF(Table1[[#This Row],[price]]&lt;1000,"Premium","Luxury")))</f>
        <v>Luxury</v>
      </c>
      <c r="L422" t="str">
        <f>IF(Table1[[#This Row],[units_sold]]&lt;50,"Very Low",IF(Table1[[#This Row],[units_sold]]&lt;150,"Low",IF(Table1[[#This Row],[units_sold]]&lt;300,"Medium","High")))</f>
        <v>Medium</v>
      </c>
      <c r="M422" t="str">
        <f t="shared" si="13"/>
        <v>Normal</v>
      </c>
      <c r="N422">
        <f>(Table1[[#This Row],[price]]*0.7)</f>
        <v>868.43399999999986</v>
      </c>
    </row>
    <row r="423" spans="1:14" x14ac:dyDescent="0.35">
      <c r="A423" t="str">
        <f t="shared" si="12"/>
        <v>P422</v>
      </c>
      <c r="B423" t="s">
        <v>16</v>
      </c>
      <c r="C423" t="s">
        <v>9</v>
      </c>
      <c r="D423">
        <v>454.58</v>
      </c>
      <c r="E423">
        <v>107</v>
      </c>
      <c r="F423">
        <v>1.2</v>
      </c>
      <c r="G423" t="b">
        <v>1</v>
      </c>
      <c r="H423">
        <f>(Table1[[#This Row],[price]]*Table1[[#This Row],[units_sold]])</f>
        <v>48640.06</v>
      </c>
      <c r="I423" t="str">
        <f>IF(Table1[[#This Row],[in_stock]]=TRUE,"Available","Out of stock")</f>
        <v>Available</v>
      </c>
      <c r="J423" t="str">
        <f>IF(Table1[[#This Row],[rating]]&gt;=4,"High",IF(Table1[[#This Row],[rating]]&gt;=2.5,"Medium","Low"))</f>
        <v>Low</v>
      </c>
      <c r="K423" t="str">
        <f>IF(Table1[[#This Row],[price]]&lt;200,"Budget",IF(Table1[[#This Row],[price]]&lt;600,"Mid-Range",IF(Table1[[#This Row],[price]]&lt;1000,"Premium","Luxury")))</f>
        <v>Mid-Range</v>
      </c>
      <c r="L423" t="str">
        <f>IF(Table1[[#This Row],[units_sold]]&lt;50,"Very Low",IF(Table1[[#This Row],[units_sold]]&lt;150,"Low",IF(Table1[[#This Row],[units_sold]]&lt;300,"Medium","High")))</f>
        <v>Low</v>
      </c>
      <c r="M423" t="str">
        <f t="shared" si="13"/>
        <v>Normal</v>
      </c>
      <c r="N423">
        <f>(Table1[[#This Row],[price]]*0.7)</f>
        <v>318.20599999999996</v>
      </c>
    </row>
    <row r="424" spans="1:14" x14ac:dyDescent="0.35">
      <c r="A424" t="str">
        <f t="shared" si="12"/>
        <v>P423</v>
      </c>
      <c r="B424" t="s">
        <v>12</v>
      </c>
      <c r="C424" t="s">
        <v>7</v>
      </c>
      <c r="D424">
        <v>1261.52</v>
      </c>
      <c r="E424">
        <v>84</v>
      </c>
      <c r="F424">
        <v>4.8</v>
      </c>
      <c r="G424" t="b">
        <v>1</v>
      </c>
      <c r="H424">
        <f>(Table1[[#This Row],[price]]*Table1[[#This Row],[units_sold]])</f>
        <v>105967.67999999999</v>
      </c>
      <c r="I424" t="str">
        <f>IF(Table1[[#This Row],[in_stock]]=TRUE,"Available","Out of stock")</f>
        <v>Available</v>
      </c>
      <c r="J424" t="str">
        <f>IF(Table1[[#This Row],[rating]]&gt;=4,"High",IF(Table1[[#This Row],[rating]]&gt;=2.5,"Medium","Low"))</f>
        <v>High</v>
      </c>
      <c r="K424" t="str">
        <f>IF(Table1[[#This Row],[price]]&lt;200,"Budget",IF(Table1[[#This Row],[price]]&lt;600,"Mid-Range",IF(Table1[[#This Row],[price]]&lt;1000,"Premium","Luxury")))</f>
        <v>Luxury</v>
      </c>
      <c r="L424" t="str">
        <f>IF(Table1[[#This Row],[units_sold]]&lt;50,"Very Low",IF(Table1[[#This Row],[units_sold]]&lt;150,"Low",IF(Table1[[#This Row],[units_sold]]&lt;300,"Medium","High")))</f>
        <v>Low</v>
      </c>
      <c r="M424" t="str">
        <f t="shared" si="13"/>
        <v>Normal</v>
      </c>
      <c r="N424">
        <f>(Table1[[#This Row],[price]]*0.7)</f>
        <v>883.06399999999996</v>
      </c>
    </row>
    <row r="425" spans="1:14" x14ac:dyDescent="0.35">
      <c r="A425" t="str">
        <f t="shared" si="12"/>
        <v>P424</v>
      </c>
      <c r="B425" t="s">
        <v>14</v>
      </c>
      <c r="C425" t="s">
        <v>9</v>
      </c>
      <c r="D425">
        <v>1161.51</v>
      </c>
      <c r="E425">
        <v>338</v>
      </c>
      <c r="F425">
        <v>4.8</v>
      </c>
      <c r="G425" t="b">
        <v>1</v>
      </c>
      <c r="H425">
        <f>(Table1[[#This Row],[price]]*Table1[[#This Row],[units_sold]])</f>
        <v>392590.38</v>
      </c>
      <c r="I425" t="str">
        <f>IF(Table1[[#This Row],[in_stock]]=TRUE,"Available","Out of stock")</f>
        <v>Available</v>
      </c>
      <c r="J425" t="str">
        <f>IF(Table1[[#This Row],[rating]]&gt;=4,"High",IF(Table1[[#This Row],[rating]]&gt;=2.5,"Medium","Low"))</f>
        <v>High</v>
      </c>
      <c r="K425" t="str">
        <f>IF(Table1[[#This Row],[price]]&lt;200,"Budget",IF(Table1[[#This Row],[price]]&lt;600,"Mid-Range",IF(Table1[[#This Row],[price]]&lt;1000,"Premium","Luxury")))</f>
        <v>Luxury</v>
      </c>
      <c r="L425" t="str">
        <f>IF(Table1[[#This Row],[units_sold]]&lt;50,"Very Low",IF(Table1[[#This Row],[units_sold]]&lt;150,"Low",IF(Table1[[#This Row],[units_sold]]&lt;300,"Medium","High")))</f>
        <v>High</v>
      </c>
      <c r="M425" t="str">
        <f t="shared" si="13"/>
        <v>Normal</v>
      </c>
      <c r="N425">
        <f>(Table1[[#This Row],[price]]*0.7)</f>
        <v>813.0569999999999</v>
      </c>
    </row>
    <row r="426" spans="1:14" x14ac:dyDescent="0.35">
      <c r="A426" t="str">
        <f t="shared" si="12"/>
        <v>P425</v>
      </c>
      <c r="B426" t="s">
        <v>10</v>
      </c>
      <c r="C426" t="s">
        <v>9</v>
      </c>
      <c r="D426">
        <v>352.78</v>
      </c>
      <c r="E426">
        <v>250</v>
      </c>
      <c r="F426">
        <v>4.0999999999999996</v>
      </c>
      <c r="G426" t="b">
        <v>1</v>
      </c>
      <c r="H426">
        <f>(Table1[[#This Row],[price]]*Table1[[#This Row],[units_sold]])</f>
        <v>88195</v>
      </c>
      <c r="I426" t="str">
        <f>IF(Table1[[#This Row],[in_stock]]=TRUE,"Available","Out of stock")</f>
        <v>Available</v>
      </c>
      <c r="J426" t="str">
        <f>IF(Table1[[#This Row],[rating]]&gt;=4,"High",IF(Table1[[#This Row],[rating]]&gt;=2.5,"Medium","Low"))</f>
        <v>High</v>
      </c>
      <c r="K426" t="str">
        <f>IF(Table1[[#This Row],[price]]&lt;200,"Budget",IF(Table1[[#This Row],[price]]&lt;600,"Mid-Range",IF(Table1[[#This Row],[price]]&lt;1000,"Premium","Luxury")))</f>
        <v>Mid-Range</v>
      </c>
      <c r="L426" t="str">
        <f>IF(Table1[[#This Row],[units_sold]]&lt;50,"Very Low",IF(Table1[[#This Row],[units_sold]]&lt;150,"Low",IF(Table1[[#This Row],[units_sold]]&lt;300,"Medium","High")))</f>
        <v>Medium</v>
      </c>
      <c r="M426" t="str">
        <f t="shared" si="13"/>
        <v>Normal</v>
      </c>
      <c r="N426">
        <f>(Table1[[#This Row],[price]]*0.7)</f>
        <v>246.94599999999997</v>
      </c>
    </row>
    <row r="427" spans="1:14" x14ac:dyDescent="0.35">
      <c r="A427" t="str">
        <f t="shared" si="12"/>
        <v>P426</v>
      </c>
      <c r="B427" t="s">
        <v>10</v>
      </c>
      <c r="C427" t="s">
        <v>9</v>
      </c>
      <c r="D427">
        <v>205.69</v>
      </c>
      <c r="E427">
        <v>363</v>
      </c>
      <c r="F427">
        <v>5</v>
      </c>
      <c r="G427" t="b">
        <v>1</v>
      </c>
      <c r="H427">
        <f>(Table1[[#This Row],[price]]*Table1[[#This Row],[units_sold]])</f>
        <v>74665.47</v>
      </c>
      <c r="I427" t="str">
        <f>IF(Table1[[#This Row],[in_stock]]=TRUE,"Available","Out of stock")</f>
        <v>Available</v>
      </c>
      <c r="J427" t="str">
        <f>IF(Table1[[#This Row],[rating]]&gt;=4,"High",IF(Table1[[#This Row],[rating]]&gt;=2.5,"Medium","Low"))</f>
        <v>High</v>
      </c>
      <c r="K427" t="str">
        <f>IF(Table1[[#This Row],[price]]&lt;200,"Budget",IF(Table1[[#This Row],[price]]&lt;600,"Mid-Range",IF(Table1[[#This Row],[price]]&lt;1000,"Premium","Luxury")))</f>
        <v>Mid-Range</v>
      </c>
      <c r="L427" t="str">
        <f>IF(Table1[[#This Row],[units_sold]]&lt;50,"Very Low",IF(Table1[[#This Row],[units_sold]]&lt;150,"Low",IF(Table1[[#This Row],[units_sold]]&lt;300,"Medium","High")))</f>
        <v>High</v>
      </c>
      <c r="M427" t="str">
        <f t="shared" si="13"/>
        <v>Normal</v>
      </c>
      <c r="N427">
        <f>(Table1[[#This Row],[price]]*0.7)</f>
        <v>143.98299999999998</v>
      </c>
    </row>
    <row r="428" spans="1:14" x14ac:dyDescent="0.35">
      <c r="A428" t="str">
        <f t="shared" si="12"/>
        <v>P427</v>
      </c>
      <c r="B428" t="s">
        <v>15</v>
      </c>
      <c r="C428" t="s">
        <v>7</v>
      </c>
      <c r="D428">
        <v>1303.4000000000001</v>
      </c>
      <c r="E428">
        <v>441</v>
      </c>
      <c r="F428">
        <v>3.2</v>
      </c>
      <c r="G428" t="b">
        <v>1</v>
      </c>
      <c r="H428">
        <f>(Table1[[#This Row],[price]]*Table1[[#This Row],[units_sold]])</f>
        <v>574799.4</v>
      </c>
      <c r="I428" t="str">
        <f>IF(Table1[[#This Row],[in_stock]]=TRUE,"Available","Out of stock")</f>
        <v>Available</v>
      </c>
      <c r="J428" t="str">
        <f>IF(Table1[[#This Row],[rating]]&gt;=4,"High",IF(Table1[[#This Row],[rating]]&gt;=2.5,"Medium","Low"))</f>
        <v>Medium</v>
      </c>
      <c r="K428" t="str">
        <f>IF(Table1[[#This Row],[price]]&lt;200,"Budget",IF(Table1[[#This Row],[price]]&lt;600,"Mid-Range",IF(Table1[[#This Row],[price]]&lt;1000,"Premium","Luxury")))</f>
        <v>Luxury</v>
      </c>
      <c r="L428" t="str">
        <f>IF(Table1[[#This Row],[units_sold]]&lt;50,"Very Low",IF(Table1[[#This Row],[units_sold]]&lt;150,"Low",IF(Table1[[#This Row],[units_sold]]&lt;300,"Medium","High")))</f>
        <v>High</v>
      </c>
      <c r="M428" t="str">
        <f t="shared" si="13"/>
        <v>Normal</v>
      </c>
      <c r="N428">
        <f>(Table1[[#This Row],[price]]*0.7)</f>
        <v>912.38</v>
      </c>
    </row>
    <row r="429" spans="1:14" x14ac:dyDescent="0.35">
      <c r="A429" t="str">
        <f t="shared" si="12"/>
        <v>P428</v>
      </c>
      <c r="B429" t="s">
        <v>12</v>
      </c>
      <c r="C429" t="s">
        <v>7</v>
      </c>
      <c r="D429">
        <v>1445.22</v>
      </c>
      <c r="E429">
        <v>21</v>
      </c>
      <c r="F429">
        <v>4.9000000000000004</v>
      </c>
      <c r="G429" t="b">
        <v>1</v>
      </c>
      <c r="H429">
        <f>(Table1[[#This Row],[price]]*Table1[[#This Row],[units_sold]])</f>
        <v>30349.62</v>
      </c>
      <c r="I429" t="str">
        <f>IF(Table1[[#This Row],[in_stock]]=TRUE,"Available","Out of stock")</f>
        <v>Available</v>
      </c>
      <c r="J429" t="str">
        <f>IF(Table1[[#This Row],[rating]]&gt;=4,"High",IF(Table1[[#This Row],[rating]]&gt;=2.5,"Medium","Low"))</f>
        <v>High</v>
      </c>
      <c r="K429" t="str">
        <f>IF(Table1[[#This Row],[price]]&lt;200,"Budget",IF(Table1[[#This Row],[price]]&lt;600,"Mid-Range",IF(Table1[[#This Row],[price]]&lt;1000,"Premium","Luxury")))</f>
        <v>Luxury</v>
      </c>
      <c r="L429" t="str">
        <f>IF(Table1[[#This Row],[units_sold]]&lt;50,"Very Low",IF(Table1[[#This Row],[units_sold]]&lt;150,"Low",IF(Table1[[#This Row],[units_sold]]&lt;300,"Medium","High")))</f>
        <v>Very Low</v>
      </c>
      <c r="M429" t="str">
        <f t="shared" si="13"/>
        <v>Normal</v>
      </c>
      <c r="N429">
        <f>(Table1[[#This Row],[price]]*0.7)</f>
        <v>1011.654</v>
      </c>
    </row>
    <row r="430" spans="1:14" x14ac:dyDescent="0.35">
      <c r="A430" t="str">
        <f t="shared" si="12"/>
        <v>P429</v>
      </c>
      <c r="B430" t="s">
        <v>17</v>
      </c>
      <c r="C430" t="s">
        <v>7</v>
      </c>
      <c r="D430">
        <v>56.64</v>
      </c>
      <c r="E430">
        <v>196</v>
      </c>
      <c r="F430">
        <v>1.3</v>
      </c>
      <c r="G430" t="b">
        <v>1</v>
      </c>
      <c r="H430">
        <f>(Table1[[#This Row],[price]]*Table1[[#This Row],[units_sold]])</f>
        <v>11101.44</v>
      </c>
      <c r="I430" t="str">
        <f>IF(Table1[[#This Row],[in_stock]]=TRUE,"Available","Out of stock")</f>
        <v>Available</v>
      </c>
      <c r="J430" t="str">
        <f>IF(Table1[[#This Row],[rating]]&gt;=4,"High",IF(Table1[[#This Row],[rating]]&gt;=2.5,"Medium","Low"))</f>
        <v>Low</v>
      </c>
      <c r="K430" t="str">
        <f>IF(Table1[[#This Row],[price]]&lt;200,"Budget",IF(Table1[[#This Row],[price]]&lt;600,"Mid-Range",IF(Table1[[#This Row],[price]]&lt;1000,"Premium","Luxury")))</f>
        <v>Budget</v>
      </c>
      <c r="L430" t="str">
        <f>IF(Table1[[#This Row],[units_sold]]&lt;50,"Very Low",IF(Table1[[#This Row],[units_sold]]&lt;150,"Low",IF(Table1[[#This Row],[units_sold]]&lt;300,"Medium","High")))</f>
        <v>Medium</v>
      </c>
      <c r="M430" t="str">
        <f t="shared" si="13"/>
        <v>Normal</v>
      </c>
      <c r="N430">
        <f>(Table1[[#This Row],[price]]*0.7)</f>
        <v>39.647999999999996</v>
      </c>
    </row>
    <row r="431" spans="1:14" x14ac:dyDescent="0.35">
      <c r="A431" t="str">
        <f t="shared" si="12"/>
        <v>P430</v>
      </c>
      <c r="B431" t="s">
        <v>11</v>
      </c>
      <c r="C431" t="s">
        <v>9</v>
      </c>
      <c r="D431">
        <v>1099.5899999999999</v>
      </c>
      <c r="E431">
        <v>178</v>
      </c>
      <c r="F431">
        <v>2.5</v>
      </c>
      <c r="G431" t="b">
        <v>0</v>
      </c>
      <c r="H431">
        <f>(Table1[[#This Row],[price]]*Table1[[#This Row],[units_sold]])</f>
        <v>195727.02</v>
      </c>
      <c r="I431" t="str">
        <f>IF(Table1[[#This Row],[in_stock]]=TRUE,"Available","Out of stock")</f>
        <v>Out of stock</v>
      </c>
      <c r="J431" t="str">
        <f>IF(Table1[[#This Row],[rating]]&gt;=4,"High",IF(Table1[[#This Row],[rating]]&gt;=2.5,"Medium","Low"))</f>
        <v>Medium</v>
      </c>
      <c r="K431" t="str">
        <f>IF(Table1[[#This Row],[price]]&lt;200,"Budget",IF(Table1[[#This Row],[price]]&lt;600,"Mid-Range",IF(Table1[[#This Row],[price]]&lt;1000,"Premium","Luxury")))</f>
        <v>Luxury</v>
      </c>
      <c r="L431" t="str">
        <f>IF(Table1[[#This Row],[units_sold]]&lt;50,"Very Low",IF(Table1[[#This Row],[units_sold]]&lt;150,"Low",IF(Table1[[#This Row],[units_sold]]&lt;300,"Medium","High")))</f>
        <v>Medium</v>
      </c>
      <c r="M431" t="str">
        <f t="shared" si="13"/>
        <v>Normal</v>
      </c>
      <c r="N431">
        <f>(Table1[[#This Row],[price]]*0.7)</f>
        <v>769.71299999999985</v>
      </c>
    </row>
    <row r="432" spans="1:14" x14ac:dyDescent="0.35">
      <c r="A432" t="str">
        <f t="shared" si="12"/>
        <v>P431</v>
      </c>
      <c r="B432" t="s">
        <v>17</v>
      </c>
      <c r="C432" t="s">
        <v>7</v>
      </c>
      <c r="D432">
        <v>1365.19</v>
      </c>
      <c r="E432">
        <v>417</v>
      </c>
      <c r="F432">
        <v>1.9</v>
      </c>
      <c r="G432" t="b">
        <v>0</v>
      </c>
      <c r="H432">
        <f>(Table1[[#This Row],[price]]*Table1[[#This Row],[units_sold]])</f>
        <v>569284.23</v>
      </c>
      <c r="I432" t="str">
        <f>IF(Table1[[#This Row],[in_stock]]=TRUE,"Available","Out of stock")</f>
        <v>Out of stock</v>
      </c>
      <c r="J432" t="str">
        <f>IF(Table1[[#This Row],[rating]]&gt;=4,"High",IF(Table1[[#This Row],[rating]]&gt;=2.5,"Medium","Low"))</f>
        <v>Low</v>
      </c>
      <c r="K432" t="str">
        <f>IF(Table1[[#This Row],[price]]&lt;200,"Budget",IF(Table1[[#This Row],[price]]&lt;600,"Mid-Range",IF(Table1[[#This Row],[price]]&lt;1000,"Premium","Luxury")))</f>
        <v>Luxury</v>
      </c>
      <c r="L432" t="str">
        <f>IF(Table1[[#This Row],[units_sold]]&lt;50,"Very Low",IF(Table1[[#This Row],[units_sold]]&lt;150,"Low",IF(Table1[[#This Row],[units_sold]]&lt;300,"Medium","High")))</f>
        <v>High</v>
      </c>
      <c r="M432" t="str">
        <f t="shared" si="13"/>
        <v>High Demand - Out of Stock</v>
      </c>
      <c r="N432">
        <f>(Table1[[#This Row],[price]]*0.7)</f>
        <v>955.63299999999992</v>
      </c>
    </row>
    <row r="433" spans="1:14" x14ac:dyDescent="0.35">
      <c r="A433" t="str">
        <f t="shared" si="12"/>
        <v>P432</v>
      </c>
      <c r="B433" t="s">
        <v>10</v>
      </c>
      <c r="C433" t="s">
        <v>9</v>
      </c>
      <c r="D433">
        <v>1287.47</v>
      </c>
      <c r="E433">
        <v>475</v>
      </c>
      <c r="F433">
        <v>1.8</v>
      </c>
      <c r="G433" t="b">
        <v>1</v>
      </c>
      <c r="H433">
        <f>(Table1[[#This Row],[price]]*Table1[[#This Row],[units_sold]])</f>
        <v>611548.25</v>
      </c>
      <c r="I433" t="str">
        <f>IF(Table1[[#This Row],[in_stock]]=TRUE,"Available","Out of stock")</f>
        <v>Available</v>
      </c>
      <c r="J433" t="str">
        <f>IF(Table1[[#This Row],[rating]]&gt;=4,"High",IF(Table1[[#This Row],[rating]]&gt;=2.5,"Medium","Low"))</f>
        <v>Low</v>
      </c>
      <c r="K433" t="str">
        <f>IF(Table1[[#This Row],[price]]&lt;200,"Budget",IF(Table1[[#This Row],[price]]&lt;600,"Mid-Range",IF(Table1[[#This Row],[price]]&lt;1000,"Premium","Luxury")))</f>
        <v>Luxury</v>
      </c>
      <c r="L433" t="str">
        <f>IF(Table1[[#This Row],[units_sold]]&lt;50,"Very Low",IF(Table1[[#This Row],[units_sold]]&lt;150,"Low",IF(Table1[[#This Row],[units_sold]]&lt;300,"Medium","High")))</f>
        <v>High</v>
      </c>
      <c r="M433" t="str">
        <f t="shared" si="13"/>
        <v>Normal</v>
      </c>
      <c r="N433">
        <f>(Table1[[#This Row],[price]]*0.7)</f>
        <v>901.22899999999993</v>
      </c>
    </row>
    <row r="434" spans="1:14" x14ac:dyDescent="0.35">
      <c r="A434" t="str">
        <f t="shared" si="12"/>
        <v>P433</v>
      </c>
      <c r="B434" t="s">
        <v>10</v>
      </c>
      <c r="C434" t="s">
        <v>9</v>
      </c>
      <c r="D434">
        <v>1447.14</v>
      </c>
      <c r="E434">
        <v>7</v>
      </c>
      <c r="F434">
        <v>1.6</v>
      </c>
      <c r="G434" t="b">
        <v>1</v>
      </c>
      <c r="H434">
        <f>(Table1[[#This Row],[price]]*Table1[[#This Row],[units_sold]])</f>
        <v>10129.980000000001</v>
      </c>
      <c r="I434" t="str">
        <f>IF(Table1[[#This Row],[in_stock]]=TRUE,"Available","Out of stock")</f>
        <v>Available</v>
      </c>
      <c r="J434" t="str">
        <f>IF(Table1[[#This Row],[rating]]&gt;=4,"High",IF(Table1[[#This Row],[rating]]&gt;=2.5,"Medium","Low"))</f>
        <v>Low</v>
      </c>
      <c r="K434" t="str">
        <f>IF(Table1[[#This Row],[price]]&lt;200,"Budget",IF(Table1[[#This Row],[price]]&lt;600,"Mid-Range",IF(Table1[[#This Row],[price]]&lt;1000,"Premium","Luxury")))</f>
        <v>Luxury</v>
      </c>
      <c r="L434" t="str">
        <f>IF(Table1[[#This Row],[units_sold]]&lt;50,"Very Low",IF(Table1[[#This Row],[units_sold]]&lt;150,"Low",IF(Table1[[#This Row],[units_sold]]&lt;300,"Medium","High")))</f>
        <v>Very Low</v>
      </c>
      <c r="M434" t="str">
        <f t="shared" si="13"/>
        <v>Normal</v>
      </c>
      <c r="N434">
        <f>(Table1[[#This Row],[price]]*0.7)</f>
        <v>1012.998</v>
      </c>
    </row>
    <row r="435" spans="1:14" x14ac:dyDescent="0.35">
      <c r="A435" t="str">
        <f t="shared" si="12"/>
        <v>P434</v>
      </c>
      <c r="B435" t="s">
        <v>13</v>
      </c>
      <c r="C435" t="s">
        <v>9</v>
      </c>
      <c r="D435">
        <v>1142.54</v>
      </c>
      <c r="E435">
        <v>70</v>
      </c>
      <c r="F435">
        <v>3.5</v>
      </c>
      <c r="G435" t="b">
        <v>1</v>
      </c>
      <c r="H435">
        <f>(Table1[[#This Row],[price]]*Table1[[#This Row],[units_sold]])</f>
        <v>79977.8</v>
      </c>
      <c r="I435" t="str">
        <f>IF(Table1[[#This Row],[in_stock]]=TRUE,"Available","Out of stock")</f>
        <v>Available</v>
      </c>
      <c r="J435" t="str">
        <f>IF(Table1[[#This Row],[rating]]&gt;=4,"High",IF(Table1[[#This Row],[rating]]&gt;=2.5,"Medium","Low"))</f>
        <v>Medium</v>
      </c>
      <c r="K435" t="str">
        <f>IF(Table1[[#This Row],[price]]&lt;200,"Budget",IF(Table1[[#This Row],[price]]&lt;600,"Mid-Range",IF(Table1[[#This Row],[price]]&lt;1000,"Premium","Luxury")))</f>
        <v>Luxury</v>
      </c>
      <c r="L435" t="str">
        <f>IF(Table1[[#This Row],[units_sold]]&lt;50,"Very Low",IF(Table1[[#This Row],[units_sold]]&lt;150,"Low",IF(Table1[[#This Row],[units_sold]]&lt;300,"Medium","High")))</f>
        <v>Low</v>
      </c>
      <c r="M435" t="str">
        <f t="shared" si="13"/>
        <v>Normal</v>
      </c>
      <c r="N435">
        <f>(Table1[[#This Row],[price]]*0.7)</f>
        <v>799.77799999999991</v>
      </c>
    </row>
    <row r="436" spans="1:14" x14ac:dyDescent="0.35">
      <c r="A436" t="str">
        <f t="shared" si="12"/>
        <v>P435</v>
      </c>
      <c r="B436" t="s">
        <v>10</v>
      </c>
      <c r="C436" t="s">
        <v>9</v>
      </c>
      <c r="D436">
        <v>669.03</v>
      </c>
      <c r="E436">
        <v>127</v>
      </c>
      <c r="F436">
        <v>4.0999999999999996</v>
      </c>
      <c r="G436" t="b">
        <v>1</v>
      </c>
      <c r="H436">
        <f>(Table1[[#This Row],[price]]*Table1[[#This Row],[units_sold]])</f>
        <v>84966.81</v>
      </c>
      <c r="I436" t="str">
        <f>IF(Table1[[#This Row],[in_stock]]=TRUE,"Available","Out of stock")</f>
        <v>Available</v>
      </c>
      <c r="J436" t="str">
        <f>IF(Table1[[#This Row],[rating]]&gt;=4,"High",IF(Table1[[#This Row],[rating]]&gt;=2.5,"Medium","Low"))</f>
        <v>High</v>
      </c>
      <c r="K436" t="str">
        <f>IF(Table1[[#This Row],[price]]&lt;200,"Budget",IF(Table1[[#This Row],[price]]&lt;600,"Mid-Range",IF(Table1[[#This Row],[price]]&lt;1000,"Premium","Luxury")))</f>
        <v>Premium</v>
      </c>
      <c r="L436" t="str">
        <f>IF(Table1[[#This Row],[units_sold]]&lt;50,"Very Low",IF(Table1[[#This Row],[units_sold]]&lt;150,"Low",IF(Table1[[#This Row],[units_sold]]&lt;300,"Medium","High")))</f>
        <v>Low</v>
      </c>
      <c r="M436" t="str">
        <f t="shared" si="13"/>
        <v>Normal</v>
      </c>
      <c r="N436">
        <f>(Table1[[#This Row],[price]]*0.7)</f>
        <v>468.32099999999997</v>
      </c>
    </row>
    <row r="437" spans="1:14" x14ac:dyDescent="0.35">
      <c r="A437" t="str">
        <f t="shared" si="12"/>
        <v>P436</v>
      </c>
      <c r="B437" t="s">
        <v>16</v>
      </c>
      <c r="C437" t="s">
        <v>9</v>
      </c>
      <c r="D437">
        <v>474.81</v>
      </c>
      <c r="E437">
        <v>399</v>
      </c>
      <c r="F437">
        <v>3.3</v>
      </c>
      <c r="G437" t="b">
        <v>1</v>
      </c>
      <c r="H437">
        <f>(Table1[[#This Row],[price]]*Table1[[#This Row],[units_sold]])</f>
        <v>189449.19</v>
      </c>
      <c r="I437" t="str">
        <f>IF(Table1[[#This Row],[in_stock]]=TRUE,"Available","Out of stock")</f>
        <v>Available</v>
      </c>
      <c r="J437" t="str">
        <f>IF(Table1[[#This Row],[rating]]&gt;=4,"High",IF(Table1[[#This Row],[rating]]&gt;=2.5,"Medium","Low"))</f>
        <v>Medium</v>
      </c>
      <c r="K437" t="str">
        <f>IF(Table1[[#This Row],[price]]&lt;200,"Budget",IF(Table1[[#This Row],[price]]&lt;600,"Mid-Range",IF(Table1[[#This Row],[price]]&lt;1000,"Premium","Luxury")))</f>
        <v>Mid-Range</v>
      </c>
      <c r="L437" t="str">
        <f>IF(Table1[[#This Row],[units_sold]]&lt;50,"Very Low",IF(Table1[[#This Row],[units_sold]]&lt;150,"Low",IF(Table1[[#This Row],[units_sold]]&lt;300,"Medium","High")))</f>
        <v>High</v>
      </c>
      <c r="M437" t="str">
        <f t="shared" si="13"/>
        <v>Normal</v>
      </c>
      <c r="N437">
        <f>(Table1[[#This Row],[price]]*0.7)</f>
        <v>332.36699999999996</v>
      </c>
    </row>
    <row r="438" spans="1:14" x14ac:dyDescent="0.35">
      <c r="A438" t="str">
        <f t="shared" si="12"/>
        <v>P437</v>
      </c>
      <c r="B438" t="s">
        <v>6</v>
      </c>
      <c r="C438" t="s">
        <v>7</v>
      </c>
      <c r="D438">
        <v>487.91</v>
      </c>
      <c r="E438">
        <v>466</v>
      </c>
      <c r="F438">
        <v>1.6</v>
      </c>
      <c r="G438" t="b">
        <v>1</v>
      </c>
      <c r="H438">
        <f>(Table1[[#This Row],[price]]*Table1[[#This Row],[units_sold]])</f>
        <v>227366.06</v>
      </c>
      <c r="I438" t="str">
        <f>IF(Table1[[#This Row],[in_stock]]=TRUE,"Available","Out of stock")</f>
        <v>Available</v>
      </c>
      <c r="J438" t="str">
        <f>IF(Table1[[#This Row],[rating]]&gt;=4,"High",IF(Table1[[#This Row],[rating]]&gt;=2.5,"Medium","Low"))</f>
        <v>Low</v>
      </c>
      <c r="K438" t="str">
        <f>IF(Table1[[#This Row],[price]]&lt;200,"Budget",IF(Table1[[#This Row],[price]]&lt;600,"Mid-Range",IF(Table1[[#This Row],[price]]&lt;1000,"Premium","Luxury")))</f>
        <v>Mid-Range</v>
      </c>
      <c r="L438" t="str">
        <f>IF(Table1[[#This Row],[units_sold]]&lt;50,"Very Low",IF(Table1[[#This Row],[units_sold]]&lt;150,"Low",IF(Table1[[#This Row],[units_sold]]&lt;300,"Medium","High")))</f>
        <v>High</v>
      </c>
      <c r="M438" t="str">
        <f t="shared" si="13"/>
        <v>Normal</v>
      </c>
      <c r="N438">
        <f>(Table1[[#This Row],[price]]*0.7)</f>
        <v>341.53699999999998</v>
      </c>
    </row>
    <row r="439" spans="1:14" x14ac:dyDescent="0.35">
      <c r="A439" t="str">
        <f t="shared" si="12"/>
        <v>P438</v>
      </c>
      <c r="B439" t="s">
        <v>12</v>
      </c>
      <c r="C439" t="s">
        <v>7</v>
      </c>
      <c r="D439">
        <v>1089.3900000000001</v>
      </c>
      <c r="E439">
        <v>160</v>
      </c>
      <c r="F439">
        <v>4.2</v>
      </c>
      <c r="G439" t="b">
        <v>1</v>
      </c>
      <c r="H439">
        <f>(Table1[[#This Row],[price]]*Table1[[#This Row],[units_sold]])</f>
        <v>174302.40000000002</v>
      </c>
      <c r="I439" t="str">
        <f>IF(Table1[[#This Row],[in_stock]]=TRUE,"Available","Out of stock")</f>
        <v>Available</v>
      </c>
      <c r="J439" t="str">
        <f>IF(Table1[[#This Row],[rating]]&gt;=4,"High",IF(Table1[[#This Row],[rating]]&gt;=2.5,"Medium","Low"))</f>
        <v>High</v>
      </c>
      <c r="K439" t="str">
        <f>IF(Table1[[#This Row],[price]]&lt;200,"Budget",IF(Table1[[#This Row],[price]]&lt;600,"Mid-Range",IF(Table1[[#This Row],[price]]&lt;1000,"Premium","Luxury")))</f>
        <v>Luxury</v>
      </c>
      <c r="L439" t="str">
        <f>IF(Table1[[#This Row],[units_sold]]&lt;50,"Very Low",IF(Table1[[#This Row],[units_sold]]&lt;150,"Low",IF(Table1[[#This Row],[units_sold]]&lt;300,"Medium","High")))</f>
        <v>Medium</v>
      </c>
      <c r="M439" t="str">
        <f t="shared" si="13"/>
        <v>Normal</v>
      </c>
      <c r="N439">
        <f>(Table1[[#This Row],[price]]*0.7)</f>
        <v>762.57299999999998</v>
      </c>
    </row>
    <row r="440" spans="1:14" x14ac:dyDescent="0.35">
      <c r="A440" t="str">
        <f t="shared" si="12"/>
        <v>P439</v>
      </c>
      <c r="B440" t="s">
        <v>17</v>
      </c>
      <c r="C440" t="s">
        <v>7</v>
      </c>
      <c r="D440">
        <v>1121.3</v>
      </c>
      <c r="E440">
        <v>248</v>
      </c>
      <c r="F440">
        <v>3.5</v>
      </c>
      <c r="G440" t="b">
        <v>0</v>
      </c>
      <c r="H440">
        <f>(Table1[[#This Row],[price]]*Table1[[#This Row],[units_sold]])</f>
        <v>278082.39999999997</v>
      </c>
      <c r="I440" t="str">
        <f>IF(Table1[[#This Row],[in_stock]]=TRUE,"Available","Out of stock")</f>
        <v>Out of stock</v>
      </c>
      <c r="J440" t="str">
        <f>IF(Table1[[#This Row],[rating]]&gt;=4,"High",IF(Table1[[#This Row],[rating]]&gt;=2.5,"Medium","Low"))</f>
        <v>Medium</v>
      </c>
      <c r="K440" t="str">
        <f>IF(Table1[[#This Row],[price]]&lt;200,"Budget",IF(Table1[[#This Row],[price]]&lt;600,"Mid-Range",IF(Table1[[#This Row],[price]]&lt;1000,"Premium","Luxury")))</f>
        <v>Luxury</v>
      </c>
      <c r="L440" t="str">
        <f>IF(Table1[[#This Row],[units_sold]]&lt;50,"Very Low",IF(Table1[[#This Row],[units_sold]]&lt;150,"Low",IF(Table1[[#This Row],[units_sold]]&lt;300,"Medium","High")))</f>
        <v>Medium</v>
      </c>
      <c r="M440" t="str">
        <f t="shared" si="13"/>
        <v>Normal</v>
      </c>
      <c r="N440">
        <f>(Table1[[#This Row],[price]]*0.7)</f>
        <v>784.91</v>
      </c>
    </row>
    <row r="441" spans="1:14" x14ac:dyDescent="0.35">
      <c r="A441" t="str">
        <f t="shared" si="12"/>
        <v>P440</v>
      </c>
      <c r="B441" t="s">
        <v>6</v>
      </c>
      <c r="C441" t="s">
        <v>7</v>
      </c>
      <c r="D441">
        <v>308.54000000000002</v>
      </c>
      <c r="E441">
        <v>203</v>
      </c>
      <c r="F441">
        <v>2.6</v>
      </c>
      <c r="G441" t="b">
        <v>0</v>
      </c>
      <c r="H441">
        <f>(Table1[[#This Row],[price]]*Table1[[#This Row],[units_sold]])</f>
        <v>62633.62</v>
      </c>
      <c r="I441" t="str">
        <f>IF(Table1[[#This Row],[in_stock]]=TRUE,"Available","Out of stock")</f>
        <v>Out of stock</v>
      </c>
      <c r="J441" t="str">
        <f>IF(Table1[[#This Row],[rating]]&gt;=4,"High",IF(Table1[[#This Row],[rating]]&gt;=2.5,"Medium","Low"))</f>
        <v>Medium</v>
      </c>
      <c r="K441" t="str">
        <f>IF(Table1[[#This Row],[price]]&lt;200,"Budget",IF(Table1[[#This Row],[price]]&lt;600,"Mid-Range",IF(Table1[[#This Row],[price]]&lt;1000,"Premium","Luxury")))</f>
        <v>Mid-Range</v>
      </c>
      <c r="L441" t="str">
        <f>IF(Table1[[#This Row],[units_sold]]&lt;50,"Very Low",IF(Table1[[#This Row],[units_sold]]&lt;150,"Low",IF(Table1[[#This Row],[units_sold]]&lt;300,"Medium","High")))</f>
        <v>Medium</v>
      </c>
      <c r="M441" t="str">
        <f t="shared" si="13"/>
        <v>Normal</v>
      </c>
      <c r="N441">
        <f>(Table1[[#This Row],[price]]*0.7)</f>
        <v>215.97800000000001</v>
      </c>
    </row>
    <row r="442" spans="1:14" x14ac:dyDescent="0.35">
      <c r="A442" t="str">
        <f t="shared" si="12"/>
        <v>P441</v>
      </c>
      <c r="B442" t="s">
        <v>14</v>
      </c>
      <c r="C442" t="s">
        <v>9</v>
      </c>
      <c r="D442">
        <v>1303.5</v>
      </c>
      <c r="E442">
        <v>148</v>
      </c>
      <c r="F442">
        <v>3.7</v>
      </c>
      <c r="G442" t="b">
        <v>0</v>
      </c>
      <c r="H442">
        <f>(Table1[[#This Row],[price]]*Table1[[#This Row],[units_sold]])</f>
        <v>192918</v>
      </c>
      <c r="I442" t="str">
        <f>IF(Table1[[#This Row],[in_stock]]=TRUE,"Available","Out of stock")</f>
        <v>Out of stock</v>
      </c>
      <c r="J442" t="str">
        <f>IF(Table1[[#This Row],[rating]]&gt;=4,"High",IF(Table1[[#This Row],[rating]]&gt;=2.5,"Medium","Low"))</f>
        <v>Medium</v>
      </c>
      <c r="K442" t="str">
        <f>IF(Table1[[#This Row],[price]]&lt;200,"Budget",IF(Table1[[#This Row],[price]]&lt;600,"Mid-Range",IF(Table1[[#This Row],[price]]&lt;1000,"Premium","Luxury")))</f>
        <v>Luxury</v>
      </c>
      <c r="L442" t="str">
        <f>IF(Table1[[#This Row],[units_sold]]&lt;50,"Very Low",IF(Table1[[#This Row],[units_sold]]&lt;150,"Low",IF(Table1[[#This Row],[units_sold]]&lt;300,"Medium","High")))</f>
        <v>Low</v>
      </c>
      <c r="M442" t="str">
        <f t="shared" si="13"/>
        <v>Normal</v>
      </c>
      <c r="N442">
        <f>(Table1[[#This Row],[price]]*0.7)</f>
        <v>912.44999999999993</v>
      </c>
    </row>
    <row r="443" spans="1:14" x14ac:dyDescent="0.35">
      <c r="A443" t="str">
        <f t="shared" si="12"/>
        <v>P442</v>
      </c>
      <c r="B443" t="s">
        <v>11</v>
      </c>
      <c r="C443" t="s">
        <v>9</v>
      </c>
      <c r="D443">
        <v>1075.24</v>
      </c>
      <c r="E443">
        <v>472</v>
      </c>
      <c r="F443">
        <v>2</v>
      </c>
      <c r="G443" t="b">
        <v>1</v>
      </c>
      <c r="H443">
        <f>(Table1[[#This Row],[price]]*Table1[[#This Row],[units_sold]])</f>
        <v>507513.28</v>
      </c>
      <c r="I443" t="str">
        <f>IF(Table1[[#This Row],[in_stock]]=TRUE,"Available","Out of stock")</f>
        <v>Available</v>
      </c>
      <c r="J443" t="str">
        <f>IF(Table1[[#This Row],[rating]]&gt;=4,"High",IF(Table1[[#This Row],[rating]]&gt;=2.5,"Medium","Low"))</f>
        <v>Low</v>
      </c>
      <c r="K443" t="str">
        <f>IF(Table1[[#This Row],[price]]&lt;200,"Budget",IF(Table1[[#This Row],[price]]&lt;600,"Mid-Range",IF(Table1[[#This Row],[price]]&lt;1000,"Premium","Luxury")))</f>
        <v>Luxury</v>
      </c>
      <c r="L443" t="str">
        <f>IF(Table1[[#This Row],[units_sold]]&lt;50,"Very Low",IF(Table1[[#This Row],[units_sold]]&lt;150,"Low",IF(Table1[[#This Row],[units_sold]]&lt;300,"Medium","High")))</f>
        <v>High</v>
      </c>
      <c r="M443" t="str">
        <f t="shared" si="13"/>
        <v>Normal</v>
      </c>
      <c r="N443">
        <f>(Table1[[#This Row],[price]]*0.7)</f>
        <v>752.66800000000001</v>
      </c>
    </row>
    <row r="444" spans="1:14" x14ac:dyDescent="0.35">
      <c r="A444" t="str">
        <f t="shared" si="12"/>
        <v>P443</v>
      </c>
      <c r="B444" t="s">
        <v>16</v>
      </c>
      <c r="C444" t="s">
        <v>9</v>
      </c>
      <c r="D444">
        <v>848.5</v>
      </c>
      <c r="E444">
        <v>143</v>
      </c>
      <c r="F444">
        <v>2.4</v>
      </c>
      <c r="G444" t="b">
        <v>1</v>
      </c>
      <c r="H444">
        <f>(Table1[[#This Row],[price]]*Table1[[#This Row],[units_sold]])</f>
        <v>121335.5</v>
      </c>
      <c r="I444" t="str">
        <f>IF(Table1[[#This Row],[in_stock]]=TRUE,"Available","Out of stock")</f>
        <v>Available</v>
      </c>
      <c r="J444" t="str">
        <f>IF(Table1[[#This Row],[rating]]&gt;=4,"High",IF(Table1[[#This Row],[rating]]&gt;=2.5,"Medium","Low"))</f>
        <v>Low</v>
      </c>
      <c r="K444" t="str">
        <f>IF(Table1[[#This Row],[price]]&lt;200,"Budget",IF(Table1[[#This Row],[price]]&lt;600,"Mid-Range",IF(Table1[[#This Row],[price]]&lt;1000,"Premium","Luxury")))</f>
        <v>Premium</v>
      </c>
      <c r="L444" t="str">
        <f>IF(Table1[[#This Row],[units_sold]]&lt;50,"Very Low",IF(Table1[[#This Row],[units_sold]]&lt;150,"Low",IF(Table1[[#This Row],[units_sold]]&lt;300,"Medium","High")))</f>
        <v>Low</v>
      </c>
      <c r="M444" t="str">
        <f t="shared" si="13"/>
        <v>Normal</v>
      </c>
      <c r="N444">
        <f>(Table1[[#This Row],[price]]*0.7)</f>
        <v>593.94999999999993</v>
      </c>
    </row>
    <row r="445" spans="1:14" x14ac:dyDescent="0.35">
      <c r="A445" t="str">
        <f t="shared" si="12"/>
        <v>P444</v>
      </c>
      <c r="B445" t="s">
        <v>17</v>
      </c>
      <c r="C445" t="s">
        <v>7</v>
      </c>
      <c r="D445">
        <v>712.58</v>
      </c>
      <c r="E445">
        <v>432</v>
      </c>
      <c r="F445">
        <v>4.7</v>
      </c>
      <c r="G445" t="b">
        <v>1</v>
      </c>
      <c r="H445">
        <f>(Table1[[#This Row],[price]]*Table1[[#This Row],[units_sold]])</f>
        <v>307834.56</v>
      </c>
      <c r="I445" t="str">
        <f>IF(Table1[[#This Row],[in_stock]]=TRUE,"Available","Out of stock")</f>
        <v>Available</v>
      </c>
      <c r="J445" t="str">
        <f>IF(Table1[[#This Row],[rating]]&gt;=4,"High",IF(Table1[[#This Row],[rating]]&gt;=2.5,"Medium","Low"))</f>
        <v>High</v>
      </c>
      <c r="K445" t="str">
        <f>IF(Table1[[#This Row],[price]]&lt;200,"Budget",IF(Table1[[#This Row],[price]]&lt;600,"Mid-Range",IF(Table1[[#This Row],[price]]&lt;1000,"Premium","Luxury")))</f>
        <v>Premium</v>
      </c>
      <c r="L445" t="str">
        <f>IF(Table1[[#This Row],[units_sold]]&lt;50,"Very Low",IF(Table1[[#This Row],[units_sold]]&lt;150,"Low",IF(Table1[[#This Row],[units_sold]]&lt;300,"Medium","High")))</f>
        <v>High</v>
      </c>
      <c r="M445" t="str">
        <f t="shared" si="13"/>
        <v>Normal</v>
      </c>
      <c r="N445">
        <f>(Table1[[#This Row],[price]]*0.7)</f>
        <v>498.80599999999998</v>
      </c>
    </row>
    <row r="446" spans="1:14" x14ac:dyDescent="0.35">
      <c r="A446" t="str">
        <f t="shared" si="12"/>
        <v>P445</v>
      </c>
      <c r="B446" t="s">
        <v>6</v>
      </c>
      <c r="C446" t="s">
        <v>7</v>
      </c>
      <c r="D446">
        <v>819.42</v>
      </c>
      <c r="E446">
        <v>199</v>
      </c>
      <c r="F446">
        <v>2.2000000000000002</v>
      </c>
      <c r="G446" t="b">
        <v>1</v>
      </c>
      <c r="H446">
        <f>(Table1[[#This Row],[price]]*Table1[[#This Row],[units_sold]])</f>
        <v>163064.57999999999</v>
      </c>
      <c r="I446" t="str">
        <f>IF(Table1[[#This Row],[in_stock]]=TRUE,"Available","Out of stock")</f>
        <v>Available</v>
      </c>
      <c r="J446" t="str">
        <f>IF(Table1[[#This Row],[rating]]&gt;=4,"High",IF(Table1[[#This Row],[rating]]&gt;=2.5,"Medium","Low"))</f>
        <v>Low</v>
      </c>
      <c r="K446" t="str">
        <f>IF(Table1[[#This Row],[price]]&lt;200,"Budget",IF(Table1[[#This Row],[price]]&lt;600,"Mid-Range",IF(Table1[[#This Row],[price]]&lt;1000,"Premium","Luxury")))</f>
        <v>Premium</v>
      </c>
      <c r="L446" t="str">
        <f>IF(Table1[[#This Row],[units_sold]]&lt;50,"Very Low",IF(Table1[[#This Row],[units_sold]]&lt;150,"Low",IF(Table1[[#This Row],[units_sold]]&lt;300,"Medium","High")))</f>
        <v>Medium</v>
      </c>
      <c r="M446" t="str">
        <f t="shared" si="13"/>
        <v>Normal</v>
      </c>
      <c r="N446">
        <f>(Table1[[#This Row],[price]]*0.7)</f>
        <v>573.59399999999994</v>
      </c>
    </row>
    <row r="447" spans="1:14" x14ac:dyDescent="0.35">
      <c r="A447" t="str">
        <f t="shared" si="12"/>
        <v>P446</v>
      </c>
      <c r="B447" t="s">
        <v>11</v>
      </c>
      <c r="C447" t="s">
        <v>9</v>
      </c>
      <c r="D447">
        <v>247.28</v>
      </c>
      <c r="E447">
        <v>405</v>
      </c>
      <c r="F447">
        <v>2.9</v>
      </c>
      <c r="G447" t="b">
        <v>1</v>
      </c>
      <c r="H447">
        <f>(Table1[[#This Row],[price]]*Table1[[#This Row],[units_sold]])</f>
        <v>100148.4</v>
      </c>
      <c r="I447" t="str">
        <f>IF(Table1[[#This Row],[in_stock]]=TRUE,"Available","Out of stock")</f>
        <v>Available</v>
      </c>
      <c r="J447" t="str">
        <f>IF(Table1[[#This Row],[rating]]&gt;=4,"High",IF(Table1[[#This Row],[rating]]&gt;=2.5,"Medium","Low"))</f>
        <v>Medium</v>
      </c>
      <c r="K447" t="str">
        <f>IF(Table1[[#This Row],[price]]&lt;200,"Budget",IF(Table1[[#This Row],[price]]&lt;600,"Mid-Range",IF(Table1[[#This Row],[price]]&lt;1000,"Premium","Luxury")))</f>
        <v>Mid-Range</v>
      </c>
      <c r="L447" t="str">
        <f>IF(Table1[[#This Row],[units_sold]]&lt;50,"Very Low",IF(Table1[[#This Row],[units_sold]]&lt;150,"Low",IF(Table1[[#This Row],[units_sold]]&lt;300,"Medium","High")))</f>
        <v>High</v>
      </c>
      <c r="M447" t="str">
        <f t="shared" si="13"/>
        <v>Normal</v>
      </c>
      <c r="N447">
        <f>(Table1[[#This Row],[price]]*0.7)</f>
        <v>173.096</v>
      </c>
    </row>
    <row r="448" spans="1:14" x14ac:dyDescent="0.35">
      <c r="A448" t="str">
        <f t="shared" si="12"/>
        <v>P447</v>
      </c>
      <c r="B448" t="s">
        <v>13</v>
      </c>
      <c r="C448" t="s">
        <v>9</v>
      </c>
      <c r="D448">
        <v>313.51</v>
      </c>
      <c r="E448">
        <v>426</v>
      </c>
      <c r="F448">
        <v>4.5999999999999996</v>
      </c>
      <c r="G448" t="b">
        <v>1</v>
      </c>
      <c r="H448">
        <f>(Table1[[#This Row],[price]]*Table1[[#This Row],[units_sold]])</f>
        <v>133555.26</v>
      </c>
      <c r="I448" t="str">
        <f>IF(Table1[[#This Row],[in_stock]]=TRUE,"Available","Out of stock")</f>
        <v>Available</v>
      </c>
      <c r="J448" t="str">
        <f>IF(Table1[[#This Row],[rating]]&gt;=4,"High",IF(Table1[[#This Row],[rating]]&gt;=2.5,"Medium","Low"))</f>
        <v>High</v>
      </c>
      <c r="K448" t="str">
        <f>IF(Table1[[#This Row],[price]]&lt;200,"Budget",IF(Table1[[#This Row],[price]]&lt;600,"Mid-Range",IF(Table1[[#This Row],[price]]&lt;1000,"Premium","Luxury")))</f>
        <v>Mid-Range</v>
      </c>
      <c r="L448" t="str">
        <f>IF(Table1[[#This Row],[units_sold]]&lt;50,"Very Low",IF(Table1[[#This Row],[units_sold]]&lt;150,"Low",IF(Table1[[#This Row],[units_sold]]&lt;300,"Medium","High")))</f>
        <v>High</v>
      </c>
      <c r="M448" t="str">
        <f t="shared" si="13"/>
        <v>Normal</v>
      </c>
      <c r="N448">
        <f>(Table1[[#This Row],[price]]*0.7)</f>
        <v>219.45699999999999</v>
      </c>
    </row>
    <row r="449" spans="1:14" x14ac:dyDescent="0.35">
      <c r="A449" t="str">
        <f t="shared" si="12"/>
        <v>P448</v>
      </c>
      <c r="B449" t="s">
        <v>16</v>
      </c>
      <c r="C449" t="s">
        <v>9</v>
      </c>
      <c r="D449">
        <v>145.84</v>
      </c>
      <c r="E449">
        <v>154</v>
      </c>
      <c r="F449">
        <v>3.8</v>
      </c>
      <c r="G449" t="b">
        <v>1</v>
      </c>
      <c r="H449">
        <f>(Table1[[#This Row],[price]]*Table1[[#This Row],[units_sold]])</f>
        <v>22459.360000000001</v>
      </c>
      <c r="I449" t="str">
        <f>IF(Table1[[#This Row],[in_stock]]=TRUE,"Available","Out of stock")</f>
        <v>Available</v>
      </c>
      <c r="J449" t="str">
        <f>IF(Table1[[#This Row],[rating]]&gt;=4,"High",IF(Table1[[#This Row],[rating]]&gt;=2.5,"Medium","Low"))</f>
        <v>Medium</v>
      </c>
      <c r="K449" t="str">
        <f>IF(Table1[[#This Row],[price]]&lt;200,"Budget",IF(Table1[[#This Row],[price]]&lt;600,"Mid-Range",IF(Table1[[#This Row],[price]]&lt;1000,"Premium","Luxury")))</f>
        <v>Budget</v>
      </c>
      <c r="L449" t="str">
        <f>IF(Table1[[#This Row],[units_sold]]&lt;50,"Very Low",IF(Table1[[#This Row],[units_sold]]&lt;150,"Low",IF(Table1[[#This Row],[units_sold]]&lt;300,"Medium","High")))</f>
        <v>Medium</v>
      </c>
      <c r="M449" t="str">
        <f t="shared" si="13"/>
        <v>Normal</v>
      </c>
      <c r="N449">
        <f>(Table1[[#This Row],[price]]*0.7)</f>
        <v>102.08799999999999</v>
      </c>
    </row>
    <row r="450" spans="1:14" x14ac:dyDescent="0.35">
      <c r="A450" t="str">
        <f t="shared" ref="A450:A513" si="14">"P"&amp;TEXT(ROW()-1,"000")</f>
        <v>P449</v>
      </c>
      <c r="B450" t="s">
        <v>16</v>
      </c>
      <c r="C450" t="s">
        <v>9</v>
      </c>
      <c r="D450">
        <v>238.95</v>
      </c>
      <c r="E450">
        <v>492</v>
      </c>
      <c r="F450">
        <v>1.2</v>
      </c>
      <c r="G450" t="b">
        <v>0</v>
      </c>
      <c r="H450">
        <f>(Table1[[#This Row],[price]]*Table1[[#This Row],[units_sold]])</f>
        <v>117563.4</v>
      </c>
      <c r="I450" t="str">
        <f>IF(Table1[[#This Row],[in_stock]]=TRUE,"Available","Out of stock")</f>
        <v>Out of stock</v>
      </c>
      <c r="J450" t="str">
        <f>IF(Table1[[#This Row],[rating]]&gt;=4,"High",IF(Table1[[#This Row],[rating]]&gt;=2.5,"Medium","Low"))</f>
        <v>Low</v>
      </c>
      <c r="K450" t="str">
        <f>IF(Table1[[#This Row],[price]]&lt;200,"Budget",IF(Table1[[#This Row],[price]]&lt;600,"Mid-Range",IF(Table1[[#This Row],[price]]&lt;1000,"Premium","Luxury")))</f>
        <v>Mid-Range</v>
      </c>
      <c r="L450" t="str">
        <f>IF(Table1[[#This Row],[units_sold]]&lt;50,"Very Low",IF(Table1[[#This Row],[units_sold]]&lt;150,"Low",IF(Table1[[#This Row],[units_sold]]&lt;300,"Medium","High")))</f>
        <v>High</v>
      </c>
      <c r="M450" t="str">
        <f t="shared" ref="M450:M513" si="15">IF(AND(E450&gt;300,G450=FALSE),"High Demand - Out of Stock","Normal")</f>
        <v>High Demand - Out of Stock</v>
      </c>
      <c r="N450">
        <f>(Table1[[#This Row],[price]]*0.7)</f>
        <v>167.26499999999999</v>
      </c>
    </row>
    <row r="451" spans="1:14" x14ac:dyDescent="0.35">
      <c r="A451" t="str">
        <f t="shared" si="14"/>
        <v>P450</v>
      </c>
      <c r="B451" t="s">
        <v>13</v>
      </c>
      <c r="C451" t="s">
        <v>9</v>
      </c>
      <c r="D451">
        <v>686</v>
      </c>
      <c r="E451">
        <v>376</v>
      </c>
      <c r="F451">
        <v>1.6</v>
      </c>
      <c r="G451" t="b">
        <v>1</v>
      </c>
      <c r="H451">
        <f>(Table1[[#This Row],[price]]*Table1[[#This Row],[units_sold]])</f>
        <v>257936</v>
      </c>
      <c r="I451" t="str">
        <f>IF(Table1[[#This Row],[in_stock]]=TRUE,"Available","Out of stock")</f>
        <v>Available</v>
      </c>
      <c r="J451" t="str">
        <f>IF(Table1[[#This Row],[rating]]&gt;=4,"High",IF(Table1[[#This Row],[rating]]&gt;=2.5,"Medium","Low"))</f>
        <v>Low</v>
      </c>
      <c r="K451" t="str">
        <f>IF(Table1[[#This Row],[price]]&lt;200,"Budget",IF(Table1[[#This Row],[price]]&lt;600,"Mid-Range",IF(Table1[[#This Row],[price]]&lt;1000,"Premium","Luxury")))</f>
        <v>Premium</v>
      </c>
      <c r="L451" t="str">
        <f>IF(Table1[[#This Row],[units_sold]]&lt;50,"Very Low",IF(Table1[[#This Row],[units_sold]]&lt;150,"Low",IF(Table1[[#This Row],[units_sold]]&lt;300,"Medium","High")))</f>
        <v>High</v>
      </c>
      <c r="M451" t="str">
        <f t="shared" si="15"/>
        <v>Normal</v>
      </c>
      <c r="N451">
        <f>(Table1[[#This Row],[price]]*0.7)</f>
        <v>480.2</v>
      </c>
    </row>
    <row r="452" spans="1:14" x14ac:dyDescent="0.35">
      <c r="A452" t="str">
        <f t="shared" si="14"/>
        <v>P451</v>
      </c>
      <c r="B452" t="s">
        <v>12</v>
      </c>
      <c r="C452" t="s">
        <v>7</v>
      </c>
      <c r="D452">
        <v>800.23</v>
      </c>
      <c r="E452">
        <v>384</v>
      </c>
      <c r="F452">
        <v>1</v>
      </c>
      <c r="G452" t="b">
        <v>1</v>
      </c>
      <c r="H452">
        <f>(Table1[[#This Row],[price]]*Table1[[#This Row],[units_sold]])</f>
        <v>307288.32000000001</v>
      </c>
      <c r="I452" t="str">
        <f>IF(Table1[[#This Row],[in_stock]]=TRUE,"Available","Out of stock")</f>
        <v>Available</v>
      </c>
      <c r="J452" t="str">
        <f>IF(Table1[[#This Row],[rating]]&gt;=4,"High",IF(Table1[[#This Row],[rating]]&gt;=2.5,"Medium","Low"))</f>
        <v>Low</v>
      </c>
      <c r="K452" t="str">
        <f>IF(Table1[[#This Row],[price]]&lt;200,"Budget",IF(Table1[[#This Row],[price]]&lt;600,"Mid-Range",IF(Table1[[#This Row],[price]]&lt;1000,"Premium","Luxury")))</f>
        <v>Premium</v>
      </c>
      <c r="L452" t="str">
        <f>IF(Table1[[#This Row],[units_sold]]&lt;50,"Very Low",IF(Table1[[#This Row],[units_sold]]&lt;150,"Low",IF(Table1[[#This Row],[units_sold]]&lt;300,"Medium","High")))</f>
        <v>High</v>
      </c>
      <c r="M452" t="str">
        <f t="shared" si="15"/>
        <v>Normal</v>
      </c>
      <c r="N452">
        <f>(Table1[[#This Row],[price]]*0.7)</f>
        <v>560.16099999999994</v>
      </c>
    </row>
    <row r="453" spans="1:14" x14ac:dyDescent="0.35">
      <c r="A453" t="str">
        <f t="shared" si="14"/>
        <v>P452</v>
      </c>
      <c r="B453" t="s">
        <v>13</v>
      </c>
      <c r="C453" t="s">
        <v>9</v>
      </c>
      <c r="D453">
        <v>36.61</v>
      </c>
      <c r="E453">
        <v>142</v>
      </c>
      <c r="F453">
        <v>3.5</v>
      </c>
      <c r="G453" t="b">
        <v>1</v>
      </c>
      <c r="H453">
        <f>(Table1[[#This Row],[price]]*Table1[[#This Row],[units_sold]])</f>
        <v>5198.62</v>
      </c>
      <c r="I453" t="str">
        <f>IF(Table1[[#This Row],[in_stock]]=TRUE,"Available","Out of stock")</f>
        <v>Available</v>
      </c>
      <c r="J453" t="str">
        <f>IF(Table1[[#This Row],[rating]]&gt;=4,"High",IF(Table1[[#This Row],[rating]]&gt;=2.5,"Medium","Low"))</f>
        <v>Medium</v>
      </c>
      <c r="K453" t="str">
        <f>IF(Table1[[#This Row],[price]]&lt;200,"Budget",IF(Table1[[#This Row],[price]]&lt;600,"Mid-Range",IF(Table1[[#This Row],[price]]&lt;1000,"Premium","Luxury")))</f>
        <v>Budget</v>
      </c>
      <c r="L453" t="str">
        <f>IF(Table1[[#This Row],[units_sold]]&lt;50,"Very Low",IF(Table1[[#This Row],[units_sold]]&lt;150,"Low",IF(Table1[[#This Row],[units_sold]]&lt;300,"Medium","High")))</f>
        <v>Low</v>
      </c>
      <c r="M453" t="str">
        <f t="shared" si="15"/>
        <v>Normal</v>
      </c>
      <c r="N453">
        <f>(Table1[[#This Row],[price]]*0.7)</f>
        <v>25.626999999999999</v>
      </c>
    </row>
    <row r="454" spans="1:14" x14ac:dyDescent="0.35">
      <c r="A454" t="str">
        <f t="shared" si="14"/>
        <v>P453</v>
      </c>
      <c r="B454" t="s">
        <v>16</v>
      </c>
      <c r="C454" t="s">
        <v>9</v>
      </c>
      <c r="D454">
        <v>1197.23</v>
      </c>
      <c r="E454">
        <v>313</v>
      </c>
      <c r="F454">
        <v>2.8</v>
      </c>
      <c r="G454" t="b">
        <v>1</v>
      </c>
      <c r="H454">
        <f>(Table1[[#This Row],[price]]*Table1[[#This Row],[units_sold]])</f>
        <v>374732.99</v>
      </c>
      <c r="I454" t="str">
        <f>IF(Table1[[#This Row],[in_stock]]=TRUE,"Available","Out of stock")</f>
        <v>Available</v>
      </c>
      <c r="J454" t="str">
        <f>IF(Table1[[#This Row],[rating]]&gt;=4,"High",IF(Table1[[#This Row],[rating]]&gt;=2.5,"Medium","Low"))</f>
        <v>Medium</v>
      </c>
      <c r="K454" t="str">
        <f>IF(Table1[[#This Row],[price]]&lt;200,"Budget",IF(Table1[[#This Row],[price]]&lt;600,"Mid-Range",IF(Table1[[#This Row],[price]]&lt;1000,"Premium","Luxury")))</f>
        <v>Luxury</v>
      </c>
      <c r="L454" t="str">
        <f>IF(Table1[[#This Row],[units_sold]]&lt;50,"Very Low",IF(Table1[[#This Row],[units_sold]]&lt;150,"Low",IF(Table1[[#This Row],[units_sold]]&lt;300,"Medium","High")))</f>
        <v>High</v>
      </c>
      <c r="M454" t="str">
        <f t="shared" si="15"/>
        <v>Normal</v>
      </c>
      <c r="N454">
        <f>(Table1[[#This Row],[price]]*0.7)</f>
        <v>838.06099999999992</v>
      </c>
    </row>
    <row r="455" spans="1:14" x14ac:dyDescent="0.35">
      <c r="A455" t="str">
        <f t="shared" si="14"/>
        <v>P454</v>
      </c>
      <c r="B455" t="s">
        <v>16</v>
      </c>
      <c r="C455" t="s">
        <v>9</v>
      </c>
      <c r="D455">
        <v>448.31</v>
      </c>
      <c r="E455">
        <v>165</v>
      </c>
      <c r="F455">
        <v>1.5</v>
      </c>
      <c r="G455" t="b">
        <v>1</v>
      </c>
      <c r="H455">
        <f>(Table1[[#This Row],[price]]*Table1[[#This Row],[units_sold]])</f>
        <v>73971.149999999994</v>
      </c>
      <c r="I455" t="str">
        <f>IF(Table1[[#This Row],[in_stock]]=TRUE,"Available","Out of stock")</f>
        <v>Available</v>
      </c>
      <c r="J455" t="str">
        <f>IF(Table1[[#This Row],[rating]]&gt;=4,"High",IF(Table1[[#This Row],[rating]]&gt;=2.5,"Medium","Low"))</f>
        <v>Low</v>
      </c>
      <c r="K455" t="str">
        <f>IF(Table1[[#This Row],[price]]&lt;200,"Budget",IF(Table1[[#This Row],[price]]&lt;600,"Mid-Range",IF(Table1[[#This Row],[price]]&lt;1000,"Premium","Luxury")))</f>
        <v>Mid-Range</v>
      </c>
      <c r="L455" t="str">
        <f>IF(Table1[[#This Row],[units_sold]]&lt;50,"Very Low",IF(Table1[[#This Row],[units_sold]]&lt;150,"Low",IF(Table1[[#This Row],[units_sold]]&lt;300,"Medium","High")))</f>
        <v>Medium</v>
      </c>
      <c r="M455" t="str">
        <f t="shared" si="15"/>
        <v>Normal</v>
      </c>
      <c r="N455">
        <f>(Table1[[#This Row],[price]]*0.7)</f>
        <v>313.81700000000001</v>
      </c>
    </row>
    <row r="456" spans="1:14" x14ac:dyDescent="0.35">
      <c r="A456" t="str">
        <f t="shared" si="14"/>
        <v>P455</v>
      </c>
      <c r="B456" t="s">
        <v>6</v>
      </c>
      <c r="C456" t="s">
        <v>7</v>
      </c>
      <c r="D456">
        <v>1368.64</v>
      </c>
      <c r="E456">
        <v>314</v>
      </c>
      <c r="F456">
        <v>4.8</v>
      </c>
      <c r="G456" t="b">
        <v>1</v>
      </c>
      <c r="H456">
        <f>(Table1[[#This Row],[price]]*Table1[[#This Row],[units_sold]])</f>
        <v>429752.96</v>
      </c>
      <c r="I456" t="str">
        <f>IF(Table1[[#This Row],[in_stock]]=TRUE,"Available","Out of stock")</f>
        <v>Available</v>
      </c>
      <c r="J456" t="str">
        <f>IF(Table1[[#This Row],[rating]]&gt;=4,"High",IF(Table1[[#This Row],[rating]]&gt;=2.5,"Medium","Low"))</f>
        <v>High</v>
      </c>
      <c r="K456" t="str">
        <f>IF(Table1[[#This Row],[price]]&lt;200,"Budget",IF(Table1[[#This Row],[price]]&lt;600,"Mid-Range",IF(Table1[[#This Row],[price]]&lt;1000,"Premium","Luxury")))</f>
        <v>Luxury</v>
      </c>
      <c r="L456" t="str">
        <f>IF(Table1[[#This Row],[units_sold]]&lt;50,"Very Low",IF(Table1[[#This Row],[units_sold]]&lt;150,"Low",IF(Table1[[#This Row],[units_sold]]&lt;300,"Medium","High")))</f>
        <v>High</v>
      </c>
      <c r="M456" t="str">
        <f t="shared" si="15"/>
        <v>Normal</v>
      </c>
      <c r="N456">
        <f>(Table1[[#This Row],[price]]*0.7)</f>
        <v>958.048</v>
      </c>
    </row>
    <row r="457" spans="1:14" x14ac:dyDescent="0.35">
      <c r="A457" t="str">
        <f t="shared" si="14"/>
        <v>P456</v>
      </c>
      <c r="B457" t="s">
        <v>10</v>
      </c>
      <c r="C457" t="s">
        <v>9</v>
      </c>
      <c r="D457">
        <v>1451.59</v>
      </c>
      <c r="E457">
        <v>21</v>
      </c>
      <c r="F457">
        <v>3.1</v>
      </c>
      <c r="G457" t="b">
        <v>1</v>
      </c>
      <c r="H457">
        <f>(Table1[[#This Row],[price]]*Table1[[#This Row],[units_sold]])</f>
        <v>30483.39</v>
      </c>
      <c r="I457" t="str">
        <f>IF(Table1[[#This Row],[in_stock]]=TRUE,"Available","Out of stock")</f>
        <v>Available</v>
      </c>
      <c r="J457" t="str">
        <f>IF(Table1[[#This Row],[rating]]&gt;=4,"High",IF(Table1[[#This Row],[rating]]&gt;=2.5,"Medium","Low"))</f>
        <v>Medium</v>
      </c>
      <c r="K457" t="str">
        <f>IF(Table1[[#This Row],[price]]&lt;200,"Budget",IF(Table1[[#This Row],[price]]&lt;600,"Mid-Range",IF(Table1[[#This Row],[price]]&lt;1000,"Premium","Luxury")))</f>
        <v>Luxury</v>
      </c>
      <c r="L457" t="str">
        <f>IF(Table1[[#This Row],[units_sold]]&lt;50,"Very Low",IF(Table1[[#This Row],[units_sold]]&lt;150,"Low",IF(Table1[[#This Row],[units_sold]]&lt;300,"Medium","High")))</f>
        <v>Very Low</v>
      </c>
      <c r="M457" t="str">
        <f t="shared" si="15"/>
        <v>Normal</v>
      </c>
      <c r="N457">
        <f>(Table1[[#This Row],[price]]*0.7)</f>
        <v>1016.1129999999998</v>
      </c>
    </row>
    <row r="458" spans="1:14" x14ac:dyDescent="0.35">
      <c r="A458" t="str">
        <f t="shared" si="14"/>
        <v>P457</v>
      </c>
      <c r="B458" t="s">
        <v>11</v>
      </c>
      <c r="C458" t="s">
        <v>9</v>
      </c>
      <c r="D458">
        <v>286.33</v>
      </c>
      <c r="E458">
        <v>82</v>
      </c>
      <c r="F458">
        <v>2</v>
      </c>
      <c r="G458" t="b">
        <v>1</v>
      </c>
      <c r="H458">
        <f>(Table1[[#This Row],[price]]*Table1[[#This Row],[units_sold]])</f>
        <v>23479.059999999998</v>
      </c>
      <c r="I458" t="str">
        <f>IF(Table1[[#This Row],[in_stock]]=TRUE,"Available","Out of stock")</f>
        <v>Available</v>
      </c>
      <c r="J458" t="str">
        <f>IF(Table1[[#This Row],[rating]]&gt;=4,"High",IF(Table1[[#This Row],[rating]]&gt;=2.5,"Medium","Low"))</f>
        <v>Low</v>
      </c>
      <c r="K458" t="str">
        <f>IF(Table1[[#This Row],[price]]&lt;200,"Budget",IF(Table1[[#This Row],[price]]&lt;600,"Mid-Range",IF(Table1[[#This Row],[price]]&lt;1000,"Premium","Luxury")))</f>
        <v>Mid-Range</v>
      </c>
      <c r="L458" t="str">
        <f>IF(Table1[[#This Row],[units_sold]]&lt;50,"Very Low",IF(Table1[[#This Row],[units_sold]]&lt;150,"Low",IF(Table1[[#This Row],[units_sold]]&lt;300,"Medium","High")))</f>
        <v>Low</v>
      </c>
      <c r="M458" t="str">
        <f t="shared" si="15"/>
        <v>Normal</v>
      </c>
      <c r="N458">
        <f>(Table1[[#This Row],[price]]*0.7)</f>
        <v>200.43099999999998</v>
      </c>
    </row>
    <row r="459" spans="1:14" x14ac:dyDescent="0.35">
      <c r="A459" t="str">
        <f t="shared" si="14"/>
        <v>P458</v>
      </c>
      <c r="B459" t="s">
        <v>13</v>
      </c>
      <c r="C459" t="s">
        <v>9</v>
      </c>
      <c r="D459">
        <v>698.52</v>
      </c>
      <c r="E459">
        <v>69</v>
      </c>
      <c r="F459">
        <v>3</v>
      </c>
      <c r="G459" t="b">
        <v>1</v>
      </c>
      <c r="H459">
        <f>(Table1[[#This Row],[price]]*Table1[[#This Row],[units_sold]])</f>
        <v>48197.88</v>
      </c>
      <c r="I459" t="str">
        <f>IF(Table1[[#This Row],[in_stock]]=TRUE,"Available","Out of stock")</f>
        <v>Available</v>
      </c>
      <c r="J459" t="str">
        <f>IF(Table1[[#This Row],[rating]]&gt;=4,"High",IF(Table1[[#This Row],[rating]]&gt;=2.5,"Medium","Low"))</f>
        <v>Medium</v>
      </c>
      <c r="K459" t="str">
        <f>IF(Table1[[#This Row],[price]]&lt;200,"Budget",IF(Table1[[#This Row],[price]]&lt;600,"Mid-Range",IF(Table1[[#This Row],[price]]&lt;1000,"Premium","Luxury")))</f>
        <v>Premium</v>
      </c>
      <c r="L459" t="str">
        <f>IF(Table1[[#This Row],[units_sold]]&lt;50,"Very Low",IF(Table1[[#This Row],[units_sold]]&lt;150,"Low",IF(Table1[[#This Row],[units_sold]]&lt;300,"Medium","High")))</f>
        <v>Low</v>
      </c>
      <c r="M459" t="str">
        <f t="shared" si="15"/>
        <v>Normal</v>
      </c>
      <c r="N459">
        <f>(Table1[[#This Row],[price]]*0.7)</f>
        <v>488.96399999999994</v>
      </c>
    </row>
    <row r="460" spans="1:14" x14ac:dyDescent="0.35">
      <c r="A460" t="str">
        <f t="shared" si="14"/>
        <v>P459</v>
      </c>
      <c r="B460" t="s">
        <v>11</v>
      </c>
      <c r="C460" t="s">
        <v>9</v>
      </c>
      <c r="D460">
        <v>11.84</v>
      </c>
      <c r="E460">
        <v>131</v>
      </c>
      <c r="F460">
        <v>3.7</v>
      </c>
      <c r="G460" t="b">
        <v>1</v>
      </c>
      <c r="H460">
        <f>(Table1[[#This Row],[price]]*Table1[[#This Row],[units_sold]])</f>
        <v>1551.04</v>
      </c>
      <c r="I460" t="str">
        <f>IF(Table1[[#This Row],[in_stock]]=TRUE,"Available","Out of stock")</f>
        <v>Available</v>
      </c>
      <c r="J460" t="str">
        <f>IF(Table1[[#This Row],[rating]]&gt;=4,"High",IF(Table1[[#This Row],[rating]]&gt;=2.5,"Medium","Low"))</f>
        <v>Medium</v>
      </c>
      <c r="K460" t="str">
        <f>IF(Table1[[#This Row],[price]]&lt;200,"Budget",IF(Table1[[#This Row],[price]]&lt;600,"Mid-Range",IF(Table1[[#This Row],[price]]&lt;1000,"Premium","Luxury")))</f>
        <v>Budget</v>
      </c>
      <c r="L460" t="str">
        <f>IF(Table1[[#This Row],[units_sold]]&lt;50,"Very Low",IF(Table1[[#This Row],[units_sold]]&lt;150,"Low",IF(Table1[[#This Row],[units_sold]]&lt;300,"Medium","High")))</f>
        <v>Low</v>
      </c>
      <c r="M460" t="str">
        <f t="shared" si="15"/>
        <v>Normal</v>
      </c>
      <c r="N460">
        <f>(Table1[[#This Row],[price]]*0.7)</f>
        <v>8.2880000000000003</v>
      </c>
    </row>
    <row r="461" spans="1:14" x14ac:dyDescent="0.35">
      <c r="A461" t="str">
        <f t="shared" si="14"/>
        <v>P460</v>
      </c>
      <c r="B461" t="s">
        <v>13</v>
      </c>
      <c r="C461" t="s">
        <v>9</v>
      </c>
      <c r="D461">
        <v>901.51</v>
      </c>
      <c r="E461">
        <v>87</v>
      </c>
      <c r="F461">
        <v>1.3</v>
      </c>
      <c r="G461" t="b">
        <v>1</v>
      </c>
      <c r="H461">
        <f>(Table1[[#This Row],[price]]*Table1[[#This Row],[units_sold]])</f>
        <v>78431.37</v>
      </c>
      <c r="I461" t="str">
        <f>IF(Table1[[#This Row],[in_stock]]=TRUE,"Available","Out of stock")</f>
        <v>Available</v>
      </c>
      <c r="J461" t="str">
        <f>IF(Table1[[#This Row],[rating]]&gt;=4,"High",IF(Table1[[#This Row],[rating]]&gt;=2.5,"Medium","Low"))</f>
        <v>Low</v>
      </c>
      <c r="K461" t="str">
        <f>IF(Table1[[#This Row],[price]]&lt;200,"Budget",IF(Table1[[#This Row],[price]]&lt;600,"Mid-Range",IF(Table1[[#This Row],[price]]&lt;1000,"Premium","Luxury")))</f>
        <v>Premium</v>
      </c>
      <c r="L461" t="str">
        <f>IF(Table1[[#This Row],[units_sold]]&lt;50,"Very Low",IF(Table1[[#This Row],[units_sold]]&lt;150,"Low",IF(Table1[[#This Row],[units_sold]]&lt;300,"Medium","High")))</f>
        <v>Low</v>
      </c>
      <c r="M461" t="str">
        <f t="shared" si="15"/>
        <v>Normal</v>
      </c>
      <c r="N461">
        <f>(Table1[[#This Row],[price]]*0.7)</f>
        <v>631.0569999999999</v>
      </c>
    </row>
    <row r="462" spans="1:14" x14ac:dyDescent="0.35">
      <c r="A462" t="str">
        <f t="shared" si="14"/>
        <v>P461</v>
      </c>
      <c r="B462" t="s">
        <v>14</v>
      </c>
      <c r="C462" t="s">
        <v>9</v>
      </c>
      <c r="D462">
        <v>914.89</v>
      </c>
      <c r="E462">
        <v>218</v>
      </c>
      <c r="F462">
        <v>2.1</v>
      </c>
      <c r="G462" t="b">
        <v>0</v>
      </c>
      <c r="H462">
        <f>(Table1[[#This Row],[price]]*Table1[[#This Row],[units_sold]])</f>
        <v>199446.02</v>
      </c>
      <c r="I462" t="str">
        <f>IF(Table1[[#This Row],[in_stock]]=TRUE,"Available","Out of stock")</f>
        <v>Out of stock</v>
      </c>
      <c r="J462" t="str">
        <f>IF(Table1[[#This Row],[rating]]&gt;=4,"High",IF(Table1[[#This Row],[rating]]&gt;=2.5,"Medium","Low"))</f>
        <v>Low</v>
      </c>
      <c r="K462" t="str">
        <f>IF(Table1[[#This Row],[price]]&lt;200,"Budget",IF(Table1[[#This Row],[price]]&lt;600,"Mid-Range",IF(Table1[[#This Row],[price]]&lt;1000,"Premium","Luxury")))</f>
        <v>Premium</v>
      </c>
      <c r="L462" t="str">
        <f>IF(Table1[[#This Row],[units_sold]]&lt;50,"Very Low",IF(Table1[[#This Row],[units_sold]]&lt;150,"Low",IF(Table1[[#This Row],[units_sold]]&lt;300,"Medium","High")))</f>
        <v>Medium</v>
      </c>
      <c r="M462" t="str">
        <f t="shared" si="15"/>
        <v>Normal</v>
      </c>
      <c r="N462">
        <f>(Table1[[#This Row],[price]]*0.7)</f>
        <v>640.423</v>
      </c>
    </row>
    <row r="463" spans="1:14" x14ac:dyDescent="0.35">
      <c r="A463" t="str">
        <f t="shared" si="14"/>
        <v>P462</v>
      </c>
      <c r="B463" t="s">
        <v>16</v>
      </c>
      <c r="C463" t="s">
        <v>9</v>
      </c>
      <c r="D463">
        <v>378.83</v>
      </c>
      <c r="E463">
        <v>421</v>
      </c>
      <c r="F463">
        <v>4.2</v>
      </c>
      <c r="G463" t="b">
        <v>1</v>
      </c>
      <c r="H463">
        <f>(Table1[[#This Row],[price]]*Table1[[#This Row],[units_sold]])</f>
        <v>159487.43</v>
      </c>
      <c r="I463" t="str">
        <f>IF(Table1[[#This Row],[in_stock]]=TRUE,"Available","Out of stock")</f>
        <v>Available</v>
      </c>
      <c r="J463" t="str">
        <f>IF(Table1[[#This Row],[rating]]&gt;=4,"High",IF(Table1[[#This Row],[rating]]&gt;=2.5,"Medium","Low"))</f>
        <v>High</v>
      </c>
      <c r="K463" t="str">
        <f>IF(Table1[[#This Row],[price]]&lt;200,"Budget",IF(Table1[[#This Row],[price]]&lt;600,"Mid-Range",IF(Table1[[#This Row],[price]]&lt;1000,"Premium","Luxury")))</f>
        <v>Mid-Range</v>
      </c>
      <c r="L463" t="str">
        <f>IF(Table1[[#This Row],[units_sold]]&lt;50,"Very Low",IF(Table1[[#This Row],[units_sold]]&lt;150,"Low",IF(Table1[[#This Row],[units_sold]]&lt;300,"Medium","High")))</f>
        <v>High</v>
      </c>
      <c r="M463" t="str">
        <f t="shared" si="15"/>
        <v>Normal</v>
      </c>
      <c r="N463">
        <f>(Table1[[#This Row],[price]]*0.7)</f>
        <v>265.18099999999998</v>
      </c>
    </row>
    <row r="464" spans="1:14" x14ac:dyDescent="0.35">
      <c r="A464" t="str">
        <f t="shared" si="14"/>
        <v>P463</v>
      </c>
      <c r="B464" t="s">
        <v>10</v>
      </c>
      <c r="C464" t="s">
        <v>9</v>
      </c>
      <c r="D464">
        <v>842.03</v>
      </c>
      <c r="E464">
        <v>472</v>
      </c>
      <c r="F464">
        <v>2.8</v>
      </c>
      <c r="G464" t="b">
        <v>1</v>
      </c>
      <c r="H464">
        <f>(Table1[[#This Row],[price]]*Table1[[#This Row],[units_sold]])</f>
        <v>397438.16</v>
      </c>
      <c r="I464" t="str">
        <f>IF(Table1[[#This Row],[in_stock]]=TRUE,"Available","Out of stock")</f>
        <v>Available</v>
      </c>
      <c r="J464" t="str">
        <f>IF(Table1[[#This Row],[rating]]&gt;=4,"High",IF(Table1[[#This Row],[rating]]&gt;=2.5,"Medium","Low"))</f>
        <v>Medium</v>
      </c>
      <c r="K464" t="str">
        <f>IF(Table1[[#This Row],[price]]&lt;200,"Budget",IF(Table1[[#This Row],[price]]&lt;600,"Mid-Range",IF(Table1[[#This Row],[price]]&lt;1000,"Premium","Luxury")))</f>
        <v>Premium</v>
      </c>
      <c r="L464" t="str">
        <f>IF(Table1[[#This Row],[units_sold]]&lt;50,"Very Low",IF(Table1[[#This Row],[units_sold]]&lt;150,"Low",IF(Table1[[#This Row],[units_sold]]&lt;300,"Medium","High")))</f>
        <v>High</v>
      </c>
      <c r="M464" t="str">
        <f t="shared" si="15"/>
        <v>Normal</v>
      </c>
      <c r="N464">
        <f>(Table1[[#This Row],[price]]*0.7)</f>
        <v>589.42099999999994</v>
      </c>
    </row>
    <row r="465" spans="1:14" x14ac:dyDescent="0.35">
      <c r="A465" t="str">
        <f t="shared" si="14"/>
        <v>P464</v>
      </c>
      <c r="B465" t="s">
        <v>6</v>
      </c>
      <c r="C465" t="s">
        <v>7</v>
      </c>
      <c r="D465">
        <v>346.05</v>
      </c>
      <c r="E465">
        <v>305</v>
      </c>
      <c r="F465">
        <v>3.2</v>
      </c>
      <c r="G465" t="b">
        <v>1</v>
      </c>
      <c r="H465">
        <f>(Table1[[#This Row],[price]]*Table1[[#This Row],[units_sold]])</f>
        <v>105545.25</v>
      </c>
      <c r="I465" t="str">
        <f>IF(Table1[[#This Row],[in_stock]]=TRUE,"Available","Out of stock")</f>
        <v>Available</v>
      </c>
      <c r="J465" t="str">
        <f>IF(Table1[[#This Row],[rating]]&gt;=4,"High",IF(Table1[[#This Row],[rating]]&gt;=2.5,"Medium","Low"))</f>
        <v>Medium</v>
      </c>
      <c r="K465" t="str">
        <f>IF(Table1[[#This Row],[price]]&lt;200,"Budget",IF(Table1[[#This Row],[price]]&lt;600,"Mid-Range",IF(Table1[[#This Row],[price]]&lt;1000,"Premium","Luxury")))</f>
        <v>Mid-Range</v>
      </c>
      <c r="L465" t="str">
        <f>IF(Table1[[#This Row],[units_sold]]&lt;50,"Very Low",IF(Table1[[#This Row],[units_sold]]&lt;150,"Low",IF(Table1[[#This Row],[units_sold]]&lt;300,"Medium","High")))</f>
        <v>High</v>
      </c>
      <c r="M465" t="str">
        <f t="shared" si="15"/>
        <v>Normal</v>
      </c>
      <c r="N465">
        <f>(Table1[[#This Row],[price]]*0.7)</f>
        <v>242.23499999999999</v>
      </c>
    </row>
    <row r="466" spans="1:14" x14ac:dyDescent="0.35">
      <c r="A466" t="str">
        <f t="shared" si="14"/>
        <v>P465</v>
      </c>
      <c r="B466" t="s">
        <v>10</v>
      </c>
      <c r="C466" t="s">
        <v>9</v>
      </c>
      <c r="D466">
        <v>249.63</v>
      </c>
      <c r="E466">
        <v>403</v>
      </c>
      <c r="F466">
        <v>2.7</v>
      </c>
      <c r="G466" t="b">
        <v>0</v>
      </c>
      <c r="H466">
        <f>(Table1[[#This Row],[price]]*Table1[[#This Row],[units_sold]])</f>
        <v>100600.89</v>
      </c>
      <c r="I466" t="str">
        <f>IF(Table1[[#This Row],[in_stock]]=TRUE,"Available","Out of stock")</f>
        <v>Out of stock</v>
      </c>
      <c r="J466" t="str">
        <f>IF(Table1[[#This Row],[rating]]&gt;=4,"High",IF(Table1[[#This Row],[rating]]&gt;=2.5,"Medium","Low"))</f>
        <v>Medium</v>
      </c>
      <c r="K466" t="str">
        <f>IF(Table1[[#This Row],[price]]&lt;200,"Budget",IF(Table1[[#This Row],[price]]&lt;600,"Mid-Range",IF(Table1[[#This Row],[price]]&lt;1000,"Premium","Luxury")))</f>
        <v>Mid-Range</v>
      </c>
      <c r="L466" t="str">
        <f>IF(Table1[[#This Row],[units_sold]]&lt;50,"Very Low",IF(Table1[[#This Row],[units_sold]]&lt;150,"Low",IF(Table1[[#This Row],[units_sold]]&lt;300,"Medium","High")))</f>
        <v>High</v>
      </c>
      <c r="M466" t="str">
        <f t="shared" si="15"/>
        <v>High Demand - Out of Stock</v>
      </c>
      <c r="N466">
        <f>(Table1[[#This Row],[price]]*0.7)</f>
        <v>174.74099999999999</v>
      </c>
    </row>
    <row r="467" spans="1:14" x14ac:dyDescent="0.35">
      <c r="A467" t="str">
        <f t="shared" si="14"/>
        <v>P466</v>
      </c>
      <c r="B467" t="s">
        <v>10</v>
      </c>
      <c r="C467" t="s">
        <v>9</v>
      </c>
      <c r="D467">
        <v>980.76</v>
      </c>
      <c r="E467">
        <v>371</v>
      </c>
      <c r="F467">
        <v>1.2</v>
      </c>
      <c r="G467" t="b">
        <v>0</v>
      </c>
      <c r="H467">
        <f>(Table1[[#This Row],[price]]*Table1[[#This Row],[units_sold]])</f>
        <v>363861.96</v>
      </c>
      <c r="I467" t="str">
        <f>IF(Table1[[#This Row],[in_stock]]=TRUE,"Available","Out of stock")</f>
        <v>Out of stock</v>
      </c>
      <c r="J467" t="str">
        <f>IF(Table1[[#This Row],[rating]]&gt;=4,"High",IF(Table1[[#This Row],[rating]]&gt;=2.5,"Medium","Low"))</f>
        <v>Low</v>
      </c>
      <c r="K467" t="str">
        <f>IF(Table1[[#This Row],[price]]&lt;200,"Budget",IF(Table1[[#This Row],[price]]&lt;600,"Mid-Range",IF(Table1[[#This Row],[price]]&lt;1000,"Premium","Luxury")))</f>
        <v>Premium</v>
      </c>
      <c r="L467" t="str">
        <f>IF(Table1[[#This Row],[units_sold]]&lt;50,"Very Low",IF(Table1[[#This Row],[units_sold]]&lt;150,"Low",IF(Table1[[#This Row],[units_sold]]&lt;300,"Medium","High")))</f>
        <v>High</v>
      </c>
      <c r="M467" t="str">
        <f t="shared" si="15"/>
        <v>High Demand - Out of Stock</v>
      </c>
      <c r="N467">
        <f>(Table1[[#This Row],[price]]*0.7)</f>
        <v>686.53199999999993</v>
      </c>
    </row>
    <row r="468" spans="1:14" x14ac:dyDescent="0.35">
      <c r="A468" t="str">
        <f t="shared" si="14"/>
        <v>P467</v>
      </c>
      <c r="B468" t="s">
        <v>10</v>
      </c>
      <c r="C468" t="s">
        <v>9</v>
      </c>
      <c r="D468">
        <v>495.63</v>
      </c>
      <c r="E468">
        <v>345</v>
      </c>
      <c r="F468">
        <v>1.7</v>
      </c>
      <c r="G468" t="b">
        <v>1</v>
      </c>
      <c r="H468">
        <f>(Table1[[#This Row],[price]]*Table1[[#This Row],[units_sold]])</f>
        <v>170992.35</v>
      </c>
      <c r="I468" t="str">
        <f>IF(Table1[[#This Row],[in_stock]]=TRUE,"Available","Out of stock")</f>
        <v>Available</v>
      </c>
      <c r="J468" t="str">
        <f>IF(Table1[[#This Row],[rating]]&gt;=4,"High",IF(Table1[[#This Row],[rating]]&gt;=2.5,"Medium","Low"))</f>
        <v>Low</v>
      </c>
      <c r="K468" t="str">
        <f>IF(Table1[[#This Row],[price]]&lt;200,"Budget",IF(Table1[[#This Row],[price]]&lt;600,"Mid-Range",IF(Table1[[#This Row],[price]]&lt;1000,"Premium","Luxury")))</f>
        <v>Mid-Range</v>
      </c>
      <c r="L468" t="str">
        <f>IF(Table1[[#This Row],[units_sold]]&lt;50,"Very Low",IF(Table1[[#This Row],[units_sold]]&lt;150,"Low",IF(Table1[[#This Row],[units_sold]]&lt;300,"Medium","High")))</f>
        <v>High</v>
      </c>
      <c r="M468" t="str">
        <f t="shared" si="15"/>
        <v>Normal</v>
      </c>
      <c r="N468">
        <f>(Table1[[#This Row],[price]]*0.7)</f>
        <v>346.94099999999997</v>
      </c>
    </row>
    <row r="469" spans="1:14" x14ac:dyDescent="0.35">
      <c r="A469" t="str">
        <f t="shared" si="14"/>
        <v>P468</v>
      </c>
      <c r="B469" t="s">
        <v>11</v>
      </c>
      <c r="C469" t="s">
        <v>9</v>
      </c>
      <c r="D469">
        <v>889.49</v>
      </c>
      <c r="E469">
        <v>341</v>
      </c>
      <c r="F469">
        <v>2.8</v>
      </c>
      <c r="G469" t="b">
        <v>1</v>
      </c>
      <c r="H469">
        <f>(Table1[[#This Row],[price]]*Table1[[#This Row],[units_sold]])</f>
        <v>303316.09000000003</v>
      </c>
      <c r="I469" t="str">
        <f>IF(Table1[[#This Row],[in_stock]]=TRUE,"Available","Out of stock")</f>
        <v>Available</v>
      </c>
      <c r="J469" t="str">
        <f>IF(Table1[[#This Row],[rating]]&gt;=4,"High",IF(Table1[[#This Row],[rating]]&gt;=2.5,"Medium","Low"))</f>
        <v>Medium</v>
      </c>
      <c r="K469" t="str">
        <f>IF(Table1[[#This Row],[price]]&lt;200,"Budget",IF(Table1[[#This Row],[price]]&lt;600,"Mid-Range",IF(Table1[[#This Row],[price]]&lt;1000,"Premium","Luxury")))</f>
        <v>Premium</v>
      </c>
      <c r="L469" t="str">
        <f>IF(Table1[[#This Row],[units_sold]]&lt;50,"Very Low",IF(Table1[[#This Row],[units_sold]]&lt;150,"Low",IF(Table1[[#This Row],[units_sold]]&lt;300,"Medium","High")))</f>
        <v>High</v>
      </c>
      <c r="M469" t="str">
        <f t="shared" si="15"/>
        <v>Normal</v>
      </c>
      <c r="N469">
        <f>(Table1[[#This Row],[price]]*0.7)</f>
        <v>622.64299999999992</v>
      </c>
    </row>
    <row r="470" spans="1:14" x14ac:dyDescent="0.35">
      <c r="A470" t="str">
        <f t="shared" si="14"/>
        <v>P469</v>
      </c>
      <c r="B470" t="s">
        <v>13</v>
      </c>
      <c r="C470" t="s">
        <v>9</v>
      </c>
      <c r="D470">
        <v>655.54</v>
      </c>
      <c r="E470">
        <v>384</v>
      </c>
      <c r="F470">
        <v>1.8</v>
      </c>
      <c r="G470" t="b">
        <v>0</v>
      </c>
      <c r="H470">
        <f>(Table1[[#This Row],[price]]*Table1[[#This Row],[units_sold]])</f>
        <v>251727.35999999999</v>
      </c>
      <c r="I470" t="str">
        <f>IF(Table1[[#This Row],[in_stock]]=TRUE,"Available","Out of stock")</f>
        <v>Out of stock</v>
      </c>
      <c r="J470" t="str">
        <f>IF(Table1[[#This Row],[rating]]&gt;=4,"High",IF(Table1[[#This Row],[rating]]&gt;=2.5,"Medium","Low"))</f>
        <v>Low</v>
      </c>
      <c r="K470" t="str">
        <f>IF(Table1[[#This Row],[price]]&lt;200,"Budget",IF(Table1[[#This Row],[price]]&lt;600,"Mid-Range",IF(Table1[[#This Row],[price]]&lt;1000,"Premium","Luxury")))</f>
        <v>Premium</v>
      </c>
      <c r="L470" t="str">
        <f>IF(Table1[[#This Row],[units_sold]]&lt;50,"Very Low",IF(Table1[[#This Row],[units_sold]]&lt;150,"Low",IF(Table1[[#This Row],[units_sold]]&lt;300,"Medium","High")))</f>
        <v>High</v>
      </c>
      <c r="M470" t="str">
        <f t="shared" si="15"/>
        <v>High Demand - Out of Stock</v>
      </c>
      <c r="N470">
        <f>(Table1[[#This Row],[price]]*0.7)</f>
        <v>458.87799999999993</v>
      </c>
    </row>
    <row r="471" spans="1:14" x14ac:dyDescent="0.35">
      <c r="A471" t="str">
        <f t="shared" si="14"/>
        <v>P470</v>
      </c>
      <c r="B471" t="s">
        <v>8</v>
      </c>
      <c r="C471" t="s">
        <v>9</v>
      </c>
      <c r="D471">
        <v>1476.68</v>
      </c>
      <c r="E471">
        <v>396</v>
      </c>
      <c r="F471">
        <v>1.2</v>
      </c>
      <c r="G471" t="b">
        <v>1</v>
      </c>
      <c r="H471">
        <f>(Table1[[#This Row],[price]]*Table1[[#This Row],[units_sold]])</f>
        <v>584765.28</v>
      </c>
      <c r="I471" t="str">
        <f>IF(Table1[[#This Row],[in_stock]]=TRUE,"Available","Out of stock")</f>
        <v>Available</v>
      </c>
      <c r="J471" t="str">
        <f>IF(Table1[[#This Row],[rating]]&gt;=4,"High",IF(Table1[[#This Row],[rating]]&gt;=2.5,"Medium","Low"))</f>
        <v>Low</v>
      </c>
      <c r="K471" t="str">
        <f>IF(Table1[[#This Row],[price]]&lt;200,"Budget",IF(Table1[[#This Row],[price]]&lt;600,"Mid-Range",IF(Table1[[#This Row],[price]]&lt;1000,"Premium","Luxury")))</f>
        <v>Luxury</v>
      </c>
      <c r="L471" t="str">
        <f>IF(Table1[[#This Row],[units_sold]]&lt;50,"Very Low",IF(Table1[[#This Row],[units_sold]]&lt;150,"Low",IF(Table1[[#This Row],[units_sold]]&lt;300,"Medium","High")))</f>
        <v>High</v>
      </c>
      <c r="M471" t="str">
        <f t="shared" si="15"/>
        <v>Normal</v>
      </c>
      <c r="N471">
        <f>(Table1[[#This Row],[price]]*0.7)</f>
        <v>1033.6759999999999</v>
      </c>
    </row>
    <row r="472" spans="1:14" x14ac:dyDescent="0.35">
      <c r="A472" t="str">
        <f t="shared" si="14"/>
        <v>P471</v>
      </c>
      <c r="B472" t="s">
        <v>14</v>
      </c>
      <c r="C472" t="s">
        <v>9</v>
      </c>
      <c r="D472">
        <v>232.88</v>
      </c>
      <c r="E472">
        <v>445</v>
      </c>
      <c r="F472">
        <v>4.4000000000000004</v>
      </c>
      <c r="G472" t="b">
        <v>1</v>
      </c>
      <c r="H472">
        <f>(Table1[[#This Row],[price]]*Table1[[#This Row],[units_sold]])</f>
        <v>103631.59999999999</v>
      </c>
      <c r="I472" t="str">
        <f>IF(Table1[[#This Row],[in_stock]]=TRUE,"Available","Out of stock")</f>
        <v>Available</v>
      </c>
      <c r="J472" t="str">
        <f>IF(Table1[[#This Row],[rating]]&gt;=4,"High",IF(Table1[[#This Row],[rating]]&gt;=2.5,"Medium","Low"))</f>
        <v>High</v>
      </c>
      <c r="K472" t="str">
        <f>IF(Table1[[#This Row],[price]]&lt;200,"Budget",IF(Table1[[#This Row],[price]]&lt;600,"Mid-Range",IF(Table1[[#This Row],[price]]&lt;1000,"Premium","Luxury")))</f>
        <v>Mid-Range</v>
      </c>
      <c r="L472" t="str">
        <f>IF(Table1[[#This Row],[units_sold]]&lt;50,"Very Low",IF(Table1[[#This Row],[units_sold]]&lt;150,"Low",IF(Table1[[#This Row],[units_sold]]&lt;300,"Medium","High")))</f>
        <v>High</v>
      </c>
      <c r="M472" t="str">
        <f t="shared" si="15"/>
        <v>Normal</v>
      </c>
      <c r="N472">
        <f>(Table1[[#This Row],[price]]*0.7)</f>
        <v>163.01599999999999</v>
      </c>
    </row>
    <row r="473" spans="1:14" x14ac:dyDescent="0.35">
      <c r="A473" t="str">
        <f t="shared" si="14"/>
        <v>P472</v>
      </c>
      <c r="B473" t="s">
        <v>17</v>
      </c>
      <c r="C473" t="s">
        <v>7</v>
      </c>
      <c r="D473">
        <v>702.25</v>
      </c>
      <c r="E473">
        <v>425</v>
      </c>
      <c r="F473">
        <v>4.9000000000000004</v>
      </c>
      <c r="G473" t="b">
        <v>1</v>
      </c>
      <c r="H473">
        <f>(Table1[[#This Row],[price]]*Table1[[#This Row],[units_sold]])</f>
        <v>298456.25</v>
      </c>
      <c r="I473" t="str">
        <f>IF(Table1[[#This Row],[in_stock]]=TRUE,"Available","Out of stock")</f>
        <v>Available</v>
      </c>
      <c r="J473" t="str">
        <f>IF(Table1[[#This Row],[rating]]&gt;=4,"High",IF(Table1[[#This Row],[rating]]&gt;=2.5,"Medium","Low"))</f>
        <v>High</v>
      </c>
      <c r="K473" t="str">
        <f>IF(Table1[[#This Row],[price]]&lt;200,"Budget",IF(Table1[[#This Row],[price]]&lt;600,"Mid-Range",IF(Table1[[#This Row],[price]]&lt;1000,"Premium","Luxury")))</f>
        <v>Premium</v>
      </c>
      <c r="L473" t="str">
        <f>IF(Table1[[#This Row],[units_sold]]&lt;50,"Very Low",IF(Table1[[#This Row],[units_sold]]&lt;150,"Low",IF(Table1[[#This Row],[units_sold]]&lt;300,"Medium","High")))</f>
        <v>High</v>
      </c>
      <c r="M473" t="str">
        <f t="shared" si="15"/>
        <v>Normal</v>
      </c>
      <c r="N473">
        <f>(Table1[[#This Row],[price]]*0.7)</f>
        <v>491.57499999999999</v>
      </c>
    </row>
    <row r="474" spans="1:14" x14ac:dyDescent="0.35">
      <c r="A474" t="str">
        <f t="shared" si="14"/>
        <v>P473</v>
      </c>
      <c r="B474" t="s">
        <v>10</v>
      </c>
      <c r="C474" t="s">
        <v>9</v>
      </c>
      <c r="D474">
        <v>1023.88</v>
      </c>
      <c r="E474">
        <v>161</v>
      </c>
      <c r="F474">
        <v>4.2</v>
      </c>
      <c r="G474" t="b">
        <v>0</v>
      </c>
      <c r="H474">
        <f>(Table1[[#This Row],[price]]*Table1[[#This Row],[units_sold]])</f>
        <v>164844.68</v>
      </c>
      <c r="I474" t="str">
        <f>IF(Table1[[#This Row],[in_stock]]=TRUE,"Available","Out of stock")</f>
        <v>Out of stock</v>
      </c>
      <c r="J474" t="str">
        <f>IF(Table1[[#This Row],[rating]]&gt;=4,"High",IF(Table1[[#This Row],[rating]]&gt;=2.5,"Medium","Low"))</f>
        <v>High</v>
      </c>
      <c r="K474" t="str">
        <f>IF(Table1[[#This Row],[price]]&lt;200,"Budget",IF(Table1[[#This Row],[price]]&lt;600,"Mid-Range",IF(Table1[[#This Row],[price]]&lt;1000,"Premium","Luxury")))</f>
        <v>Luxury</v>
      </c>
      <c r="L474" t="str">
        <f>IF(Table1[[#This Row],[units_sold]]&lt;50,"Very Low",IF(Table1[[#This Row],[units_sold]]&lt;150,"Low",IF(Table1[[#This Row],[units_sold]]&lt;300,"Medium","High")))</f>
        <v>Medium</v>
      </c>
      <c r="M474" t="str">
        <f t="shared" si="15"/>
        <v>Normal</v>
      </c>
      <c r="N474">
        <f>(Table1[[#This Row],[price]]*0.7)</f>
        <v>716.71599999999989</v>
      </c>
    </row>
    <row r="475" spans="1:14" x14ac:dyDescent="0.35">
      <c r="A475" t="str">
        <f t="shared" si="14"/>
        <v>P474</v>
      </c>
      <c r="B475" t="s">
        <v>12</v>
      </c>
      <c r="C475" t="s">
        <v>7</v>
      </c>
      <c r="D475">
        <v>599.36</v>
      </c>
      <c r="E475">
        <v>178</v>
      </c>
      <c r="F475">
        <v>4.4000000000000004</v>
      </c>
      <c r="G475" t="b">
        <v>0</v>
      </c>
      <c r="H475">
        <f>(Table1[[#This Row],[price]]*Table1[[#This Row],[units_sold]])</f>
        <v>106686.08</v>
      </c>
      <c r="I475" t="str">
        <f>IF(Table1[[#This Row],[in_stock]]=TRUE,"Available","Out of stock")</f>
        <v>Out of stock</v>
      </c>
      <c r="J475" t="str">
        <f>IF(Table1[[#This Row],[rating]]&gt;=4,"High",IF(Table1[[#This Row],[rating]]&gt;=2.5,"Medium","Low"))</f>
        <v>High</v>
      </c>
      <c r="K475" t="str">
        <f>IF(Table1[[#This Row],[price]]&lt;200,"Budget",IF(Table1[[#This Row],[price]]&lt;600,"Mid-Range",IF(Table1[[#This Row],[price]]&lt;1000,"Premium","Luxury")))</f>
        <v>Mid-Range</v>
      </c>
      <c r="L475" t="str">
        <f>IF(Table1[[#This Row],[units_sold]]&lt;50,"Very Low",IF(Table1[[#This Row],[units_sold]]&lt;150,"Low",IF(Table1[[#This Row],[units_sold]]&lt;300,"Medium","High")))</f>
        <v>Medium</v>
      </c>
      <c r="M475" t="str">
        <f t="shared" si="15"/>
        <v>Normal</v>
      </c>
      <c r="N475">
        <f>(Table1[[#This Row],[price]]*0.7)</f>
        <v>419.55199999999996</v>
      </c>
    </row>
    <row r="476" spans="1:14" x14ac:dyDescent="0.35">
      <c r="A476" t="str">
        <f t="shared" si="14"/>
        <v>P475</v>
      </c>
      <c r="B476" t="s">
        <v>11</v>
      </c>
      <c r="C476" t="s">
        <v>9</v>
      </c>
      <c r="D476">
        <v>1462.3</v>
      </c>
      <c r="E476">
        <v>117</v>
      </c>
      <c r="F476">
        <v>2</v>
      </c>
      <c r="G476" t="b">
        <v>1</v>
      </c>
      <c r="H476">
        <f>(Table1[[#This Row],[price]]*Table1[[#This Row],[units_sold]])</f>
        <v>171089.1</v>
      </c>
      <c r="I476" t="str">
        <f>IF(Table1[[#This Row],[in_stock]]=TRUE,"Available","Out of stock")</f>
        <v>Available</v>
      </c>
      <c r="J476" t="str">
        <f>IF(Table1[[#This Row],[rating]]&gt;=4,"High",IF(Table1[[#This Row],[rating]]&gt;=2.5,"Medium","Low"))</f>
        <v>Low</v>
      </c>
      <c r="K476" t="str">
        <f>IF(Table1[[#This Row],[price]]&lt;200,"Budget",IF(Table1[[#This Row],[price]]&lt;600,"Mid-Range",IF(Table1[[#This Row],[price]]&lt;1000,"Premium","Luxury")))</f>
        <v>Luxury</v>
      </c>
      <c r="L476" t="str">
        <f>IF(Table1[[#This Row],[units_sold]]&lt;50,"Very Low",IF(Table1[[#This Row],[units_sold]]&lt;150,"Low",IF(Table1[[#This Row],[units_sold]]&lt;300,"Medium","High")))</f>
        <v>Low</v>
      </c>
      <c r="M476" t="str">
        <f t="shared" si="15"/>
        <v>Normal</v>
      </c>
      <c r="N476">
        <f>(Table1[[#This Row],[price]]*0.7)</f>
        <v>1023.6099999999999</v>
      </c>
    </row>
    <row r="477" spans="1:14" x14ac:dyDescent="0.35">
      <c r="A477" t="str">
        <f t="shared" si="14"/>
        <v>P476</v>
      </c>
      <c r="B477" t="s">
        <v>6</v>
      </c>
      <c r="C477" t="s">
        <v>7</v>
      </c>
      <c r="D477">
        <v>1085.6099999999999</v>
      </c>
      <c r="E477">
        <v>196</v>
      </c>
      <c r="F477">
        <v>4.8</v>
      </c>
      <c r="G477" t="b">
        <v>1</v>
      </c>
      <c r="H477">
        <f>(Table1[[#This Row],[price]]*Table1[[#This Row],[units_sold]])</f>
        <v>212779.55999999997</v>
      </c>
      <c r="I477" t="str">
        <f>IF(Table1[[#This Row],[in_stock]]=TRUE,"Available","Out of stock")</f>
        <v>Available</v>
      </c>
      <c r="J477" t="str">
        <f>IF(Table1[[#This Row],[rating]]&gt;=4,"High",IF(Table1[[#This Row],[rating]]&gt;=2.5,"Medium","Low"))</f>
        <v>High</v>
      </c>
      <c r="K477" t="str">
        <f>IF(Table1[[#This Row],[price]]&lt;200,"Budget",IF(Table1[[#This Row],[price]]&lt;600,"Mid-Range",IF(Table1[[#This Row],[price]]&lt;1000,"Premium","Luxury")))</f>
        <v>Luxury</v>
      </c>
      <c r="L477" t="str">
        <f>IF(Table1[[#This Row],[units_sold]]&lt;50,"Very Low",IF(Table1[[#This Row],[units_sold]]&lt;150,"Low",IF(Table1[[#This Row],[units_sold]]&lt;300,"Medium","High")))</f>
        <v>Medium</v>
      </c>
      <c r="M477" t="str">
        <f t="shared" si="15"/>
        <v>Normal</v>
      </c>
      <c r="N477">
        <f>(Table1[[#This Row],[price]]*0.7)</f>
        <v>759.92699999999991</v>
      </c>
    </row>
    <row r="478" spans="1:14" x14ac:dyDescent="0.35">
      <c r="A478" t="str">
        <f t="shared" si="14"/>
        <v>P477</v>
      </c>
      <c r="B478" t="s">
        <v>17</v>
      </c>
      <c r="C478" t="s">
        <v>7</v>
      </c>
      <c r="D478">
        <v>988.91</v>
      </c>
      <c r="E478">
        <v>383</v>
      </c>
      <c r="F478">
        <v>1.8</v>
      </c>
      <c r="G478" t="b">
        <v>1</v>
      </c>
      <c r="H478">
        <f>(Table1[[#This Row],[price]]*Table1[[#This Row],[units_sold]])</f>
        <v>378752.52999999997</v>
      </c>
      <c r="I478" t="str">
        <f>IF(Table1[[#This Row],[in_stock]]=TRUE,"Available","Out of stock")</f>
        <v>Available</v>
      </c>
      <c r="J478" t="str">
        <f>IF(Table1[[#This Row],[rating]]&gt;=4,"High",IF(Table1[[#This Row],[rating]]&gt;=2.5,"Medium","Low"))</f>
        <v>Low</v>
      </c>
      <c r="K478" t="str">
        <f>IF(Table1[[#This Row],[price]]&lt;200,"Budget",IF(Table1[[#This Row],[price]]&lt;600,"Mid-Range",IF(Table1[[#This Row],[price]]&lt;1000,"Premium","Luxury")))</f>
        <v>Premium</v>
      </c>
      <c r="L478" t="str">
        <f>IF(Table1[[#This Row],[units_sold]]&lt;50,"Very Low",IF(Table1[[#This Row],[units_sold]]&lt;150,"Low",IF(Table1[[#This Row],[units_sold]]&lt;300,"Medium","High")))</f>
        <v>High</v>
      </c>
      <c r="M478" t="str">
        <f t="shared" si="15"/>
        <v>Normal</v>
      </c>
      <c r="N478">
        <f>(Table1[[#This Row],[price]]*0.7)</f>
        <v>692.23699999999997</v>
      </c>
    </row>
    <row r="479" spans="1:14" x14ac:dyDescent="0.35">
      <c r="A479" t="str">
        <f t="shared" si="14"/>
        <v>P478</v>
      </c>
      <c r="B479" t="s">
        <v>8</v>
      </c>
      <c r="C479" t="s">
        <v>9</v>
      </c>
      <c r="D479">
        <v>1138.02</v>
      </c>
      <c r="E479">
        <v>490</v>
      </c>
      <c r="F479">
        <v>4.8</v>
      </c>
      <c r="G479" t="b">
        <v>1</v>
      </c>
      <c r="H479">
        <f>(Table1[[#This Row],[price]]*Table1[[#This Row],[units_sold]])</f>
        <v>557629.80000000005</v>
      </c>
      <c r="I479" t="str">
        <f>IF(Table1[[#This Row],[in_stock]]=TRUE,"Available","Out of stock")</f>
        <v>Available</v>
      </c>
      <c r="J479" t="str">
        <f>IF(Table1[[#This Row],[rating]]&gt;=4,"High",IF(Table1[[#This Row],[rating]]&gt;=2.5,"Medium","Low"))</f>
        <v>High</v>
      </c>
      <c r="K479" t="str">
        <f>IF(Table1[[#This Row],[price]]&lt;200,"Budget",IF(Table1[[#This Row],[price]]&lt;600,"Mid-Range",IF(Table1[[#This Row],[price]]&lt;1000,"Premium","Luxury")))</f>
        <v>Luxury</v>
      </c>
      <c r="L479" t="str">
        <f>IF(Table1[[#This Row],[units_sold]]&lt;50,"Very Low",IF(Table1[[#This Row],[units_sold]]&lt;150,"Low",IF(Table1[[#This Row],[units_sold]]&lt;300,"Medium","High")))</f>
        <v>High</v>
      </c>
      <c r="M479" t="str">
        <f t="shared" si="15"/>
        <v>Normal</v>
      </c>
      <c r="N479">
        <f>(Table1[[#This Row],[price]]*0.7)</f>
        <v>796.61399999999992</v>
      </c>
    </row>
    <row r="480" spans="1:14" x14ac:dyDescent="0.35">
      <c r="A480" t="str">
        <f t="shared" si="14"/>
        <v>P479</v>
      </c>
      <c r="B480" t="s">
        <v>12</v>
      </c>
      <c r="C480" t="s">
        <v>7</v>
      </c>
      <c r="D480">
        <v>1429.45</v>
      </c>
      <c r="E480">
        <v>327</v>
      </c>
      <c r="F480">
        <v>5</v>
      </c>
      <c r="G480" t="b">
        <v>0</v>
      </c>
      <c r="H480">
        <f>(Table1[[#This Row],[price]]*Table1[[#This Row],[units_sold]])</f>
        <v>467430.15</v>
      </c>
      <c r="I480" t="str">
        <f>IF(Table1[[#This Row],[in_stock]]=TRUE,"Available","Out of stock")</f>
        <v>Out of stock</v>
      </c>
      <c r="J480" t="str">
        <f>IF(Table1[[#This Row],[rating]]&gt;=4,"High",IF(Table1[[#This Row],[rating]]&gt;=2.5,"Medium","Low"))</f>
        <v>High</v>
      </c>
      <c r="K480" t="str">
        <f>IF(Table1[[#This Row],[price]]&lt;200,"Budget",IF(Table1[[#This Row],[price]]&lt;600,"Mid-Range",IF(Table1[[#This Row],[price]]&lt;1000,"Premium","Luxury")))</f>
        <v>Luxury</v>
      </c>
      <c r="L480" t="str">
        <f>IF(Table1[[#This Row],[units_sold]]&lt;50,"Very Low",IF(Table1[[#This Row],[units_sold]]&lt;150,"Low",IF(Table1[[#This Row],[units_sold]]&lt;300,"Medium","High")))</f>
        <v>High</v>
      </c>
      <c r="M480" t="str">
        <f t="shared" si="15"/>
        <v>High Demand - Out of Stock</v>
      </c>
      <c r="N480">
        <f>(Table1[[#This Row],[price]]*0.7)</f>
        <v>1000.615</v>
      </c>
    </row>
    <row r="481" spans="1:14" x14ac:dyDescent="0.35">
      <c r="A481" t="str">
        <f t="shared" si="14"/>
        <v>P480</v>
      </c>
      <c r="B481" t="s">
        <v>8</v>
      </c>
      <c r="C481" t="s">
        <v>9</v>
      </c>
      <c r="D481">
        <v>1362.65</v>
      </c>
      <c r="E481">
        <v>86</v>
      </c>
      <c r="F481">
        <v>3.8</v>
      </c>
      <c r="G481" t="b">
        <v>1</v>
      </c>
      <c r="H481">
        <f>(Table1[[#This Row],[price]]*Table1[[#This Row],[units_sold]])</f>
        <v>117187.90000000001</v>
      </c>
      <c r="I481" t="str">
        <f>IF(Table1[[#This Row],[in_stock]]=TRUE,"Available","Out of stock")</f>
        <v>Available</v>
      </c>
      <c r="J481" t="str">
        <f>IF(Table1[[#This Row],[rating]]&gt;=4,"High",IF(Table1[[#This Row],[rating]]&gt;=2.5,"Medium","Low"))</f>
        <v>Medium</v>
      </c>
      <c r="K481" t="str">
        <f>IF(Table1[[#This Row],[price]]&lt;200,"Budget",IF(Table1[[#This Row],[price]]&lt;600,"Mid-Range",IF(Table1[[#This Row],[price]]&lt;1000,"Premium","Luxury")))</f>
        <v>Luxury</v>
      </c>
      <c r="L481" t="str">
        <f>IF(Table1[[#This Row],[units_sold]]&lt;50,"Very Low",IF(Table1[[#This Row],[units_sold]]&lt;150,"Low",IF(Table1[[#This Row],[units_sold]]&lt;300,"Medium","High")))</f>
        <v>Low</v>
      </c>
      <c r="M481" t="str">
        <f t="shared" si="15"/>
        <v>Normal</v>
      </c>
      <c r="N481">
        <f>(Table1[[#This Row],[price]]*0.7)</f>
        <v>953.85500000000002</v>
      </c>
    </row>
    <row r="482" spans="1:14" x14ac:dyDescent="0.35">
      <c r="A482" t="str">
        <f t="shared" si="14"/>
        <v>P481</v>
      </c>
      <c r="B482" t="s">
        <v>17</v>
      </c>
      <c r="C482" t="s">
        <v>7</v>
      </c>
      <c r="D482">
        <v>1089.19</v>
      </c>
      <c r="E482">
        <v>289</v>
      </c>
      <c r="F482">
        <v>4.9000000000000004</v>
      </c>
      <c r="G482" t="b">
        <v>1</v>
      </c>
      <c r="H482">
        <f>(Table1[[#This Row],[price]]*Table1[[#This Row],[units_sold]])</f>
        <v>314775.91000000003</v>
      </c>
      <c r="I482" t="str">
        <f>IF(Table1[[#This Row],[in_stock]]=TRUE,"Available","Out of stock")</f>
        <v>Available</v>
      </c>
      <c r="J482" t="str">
        <f>IF(Table1[[#This Row],[rating]]&gt;=4,"High",IF(Table1[[#This Row],[rating]]&gt;=2.5,"Medium","Low"))</f>
        <v>High</v>
      </c>
      <c r="K482" t="str">
        <f>IF(Table1[[#This Row],[price]]&lt;200,"Budget",IF(Table1[[#This Row],[price]]&lt;600,"Mid-Range",IF(Table1[[#This Row],[price]]&lt;1000,"Premium","Luxury")))</f>
        <v>Luxury</v>
      </c>
      <c r="L482" t="str">
        <f>IF(Table1[[#This Row],[units_sold]]&lt;50,"Very Low",IF(Table1[[#This Row],[units_sold]]&lt;150,"Low",IF(Table1[[#This Row],[units_sold]]&lt;300,"Medium","High")))</f>
        <v>Medium</v>
      </c>
      <c r="M482" t="str">
        <f t="shared" si="15"/>
        <v>Normal</v>
      </c>
      <c r="N482">
        <f>(Table1[[#This Row],[price]]*0.7)</f>
        <v>762.43299999999999</v>
      </c>
    </row>
    <row r="483" spans="1:14" x14ac:dyDescent="0.35">
      <c r="A483" t="str">
        <f t="shared" si="14"/>
        <v>P482</v>
      </c>
      <c r="B483" t="s">
        <v>10</v>
      </c>
      <c r="C483" t="s">
        <v>9</v>
      </c>
      <c r="D483">
        <v>1126.25</v>
      </c>
      <c r="E483">
        <v>81</v>
      </c>
      <c r="F483">
        <v>3.3</v>
      </c>
      <c r="G483" t="b">
        <v>1</v>
      </c>
      <c r="H483">
        <f>(Table1[[#This Row],[price]]*Table1[[#This Row],[units_sold]])</f>
        <v>91226.25</v>
      </c>
      <c r="I483" t="str">
        <f>IF(Table1[[#This Row],[in_stock]]=TRUE,"Available","Out of stock")</f>
        <v>Available</v>
      </c>
      <c r="J483" t="str">
        <f>IF(Table1[[#This Row],[rating]]&gt;=4,"High",IF(Table1[[#This Row],[rating]]&gt;=2.5,"Medium","Low"))</f>
        <v>Medium</v>
      </c>
      <c r="K483" t="str">
        <f>IF(Table1[[#This Row],[price]]&lt;200,"Budget",IF(Table1[[#This Row],[price]]&lt;600,"Mid-Range",IF(Table1[[#This Row],[price]]&lt;1000,"Premium","Luxury")))</f>
        <v>Luxury</v>
      </c>
      <c r="L483" t="str">
        <f>IF(Table1[[#This Row],[units_sold]]&lt;50,"Very Low",IF(Table1[[#This Row],[units_sold]]&lt;150,"Low",IF(Table1[[#This Row],[units_sold]]&lt;300,"Medium","High")))</f>
        <v>Low</v>
      </c>
      <c r="M483" t="str">
        <f t="shared" si="15"/>
        <v>Normal</v>
      </c>
      <c r="N483">
        <f>(Table1[[#This Row],[price]]*0.7)</f>
        <v>788.375</v>
      </c>
    </row>
    <row r="484" spans="1:14" x14ac:dyDescent="0.35">
      <c r="A484" t="str">
        <f t="shared" si="14"/>
        <v>P483</v>
      </c>
      <c r="B484" t="s">
        <v>12</v>
      </c>
      <c r="C484" t="s">
        <v>7</v>
      </c>
      <c r="D484">
        <v>227.42</v>
      </c>
      <c r="E484">
        <v>152</v>
      </c>
      <c r="F484">
        <v>2</v>
      </c>
      <c r="G484" t="b">
        <v>1</v>
      </c>
      <c r="H484">
        <f>(Table1[[#This Row],[price]]*Table1[[#This Row],[units_sold]])</f>
        <v>34567.839999999997</v>
      </c>
      <c r="I484" t="str">
        <f>IF(Table1[[#This Row],[in_stock]]=TRUE,"Available","Out of stock")</f>
        <v>Available</v>
      </c>
      <c r="J484" t="str">
        <f>IF(Table1[[#This Row],[rating]]&gt;=4,"High",IF(Table1[[#This Row],[rating]]&gt;=2.5,"Medium","Low"))</f>
        <v>Low</v>
      </c>
      <c r="K484" t="str">
        <f>IF(Table1[[#This Row],[price]]&lt;200,"Budget",IF(Table1[[#This Row],[price]]&lt;600,"Mid-Range",IF(Table1[[#This Row],[price]]&lt;1000,"Premium","Luxury")))</f>
        <v>Mid-Range</v>
      </c>
      <c r="L484" t="str">
        <f>IF(Table1[[#This Row],[units_sold]]&lt;50,"Very Low",IF(Table1[[#This Row],[units_sold]]&lt;150,"Low",IF(Table1[[#This Row],[units_sold]]&lt;300,"Medium","High")))</f>
        <v>Medium</v>
      </c>
      <c r="M484" t="str">
        <f t="shared" si="15"/>
        <v>Normal</v>
      </c>
      <c r="N484">
        <f>(Table1[[#This Row],[price]]*0.7)</f>
        <v>159.19399999999999</v>
      </c>
    </row>
    <row r="485" spans="1:14" x14ac:dyDescent="0.35">
      <c r="A485" t="str">
        <f t="shared" si="14"/>
        <v>P484</v>
      </c>
      <c r="B485" t="s">
        <v>8</v>
      </c>
      <c r="C485" t="s">
        <v>9</v>
      </c>
      <c r="D485">
        <v>163.16</v>
      </c>
      <c r="E485">
        <v>61</v>
      </c>
      <c r="F485">
        <v>2.7</v>
      </c>
      <c r="G485" t="b">
        <v>1</v>
      </c>
      <c r="H485">
        <f>(Table1[[#This Row],[price]]*Table1[[#This Row],[units_sold]])</f>
        <v>9952.76</v>
      </c>
      <c r="I485" t="str">
        <f>IF(Table1[[#This Row],[in_stock]]=TRUE,"Available","Out of stock")</f>
        <v>Available</v>
      </c>
      <c r="J485" t="str">
        <f>IF(Table1[[#This Row],[rating]]&gt;=4,"High",IF(Table1[[#This Row],[rating]]&gt;=2.5,"Medium","Low"))</f>
        <v>Medium</v>
      </c>
      <c r="K485" t="str">
        <f>IF(Table1[[#This Row],[price]]&lt;200,"Budget",IF(Table1[[#This Row],[price]]&lt;600,"Mid-Range",IF(Table1[[#This Row],[price]]&lt;1000,"Premium","Luxury")))</f>
        <v>Budget</v>
      </c>
      <c r="L485" t="str">
        <f>IF(Table1[[#This Row],[units_sold]]&lt;50,"Very Low",IF(Table1[[#This Row],[units_sold]]&lt;150,"Low",IF(Table1[[#This Row],[units_sold]]&lt;300,"Medium","High")))</f>
        <v>Low</v>
      </c>
      <c r="M485" t="str">
        <f t="shared" si="15"/>
        <v>Normal</v>
      </c>
      <c r="N485">
        <f>(Table1[[#This Row],[price]]*0.7)</f>
        <v>114.21199999999999</v>
      </c>
    </row>
    <row r="486" spans="1:14" x14ac:dyDescent="0.35">
      <c r="A486" t="str">
        <f t="shared" si="14"/>
        <v>P485</v>
      </c>
      <c r="B486" t="s">
        <v>6</v>
      </c>
      <c r="C486" t="s">
        <v>7</v>
      </c>
      <c r="D486">
        <v>860.65</v>
      </c>
      <c r="E486">
        <v>61</v>
      </c>
      <c r="F486">
        <v>3.4</v>
      </c>
      <c r="G486" t="b">
        <v>1</v>
      </c>
      <c r="H486">
        <f>(Table1[[#This Row],[price]]*Table1[[#This Row],[units_sold]])</f>
        <v>52499.65</v>
      </c>
      <c r="I486" t="str">
        <f>IF(Table1[[#This Row],[in_stock]]=TRUE,"Available","Out of stock")</f>
        <v>Available</v>
      </c>
      <c r="J486" t="str">
        <f>IF(Table1[[#This Row],[rating]]&gt;=4,"High",IF(Table1[[#This Row],[rating]]&gt;=2.5,"Medium","Low"))</f>
        <v>Medium</v>
      </c>
      <c r="K486" t="str">
        <f>IF(Table1[[#This Row],[price]]&lt;200,"Budget",IF(Table1[[#This Row],[price]]&lt;600,"Mid-Range",IF(Table1[[#This Row],[price]]&lt;1000,"Premium","Luxury")))</f>
        <v>Premium</v>
      </c>
      <c r="L486" t="str">
        <f>IF(Table1[[#This Row],[units_sold]]&lt;50,"Very Low",IF(Table1[[#This Row],[units_sold]]&lt;150,"Low",IF(Table1[[#This Row],[units_sold]]&lt;300,"Medium","High")))</f>
        <v>Low</v>
      </c>
      <c r="M486" t="str">
        <f t="shared" si="15"/>
        <v>Normal</v>
      </c>
      <c r="N486">
        <f>(Table1[[#This Row],[price]]*0.7)</f>
        <v>602.45499999999993</v>
      </c>
    </row>
    <row r="487" spans="1:14" x14ac:dyDescent="0.35">
      <c r="A487" t="str">
        <f t="shared" si="14"/>
        <v>P486</v>
      </c>
      <c r="B487" t="s">
        <v>13</v>
      </c>
      <c r="C487" t="s">
        <v>9</v>
      </c>
      <c r="D487">
        <v>37.369999999999997</v>
      </c>
      <c r="E487">
        <v>354</v>
      </c>
      <c r="F487">
        <v>1.3</v>
      </c>
      <c r="G487" t="b">
        <v>1</v>
      </c>
      <c r="H487">
        <f>(Table1[[#This Row],[price]]*Table1[[#This Row],[units_sold]])</f>
        <v>13228.98</v>
      </c>
      <c r="I487" t="str">
        <f>IF(Table1[[#This Row],[in_stock]]=TRUE,"Available","Out of stock")</f>
        <v>Available</v>
      </c>
      <c r="J487" t="str">
        <f>IF(Table1[[#This Row],[rating]]&gt;=4,"High",IF(Table1[[#This Row],[rating]]&gt;=2.5,"Medium","Low"))</f>
        <v>Low</v>
      </c>
      <c r="K487" t="str">
        <f>IF(Table1[[#This Row],[price]]&lt;200,"Budget",IF(Table1[[#This Row],[price]]&lt;600,"Mid-Range",IF(Table1[[#This Row],[price]]&lt;1000,"Premium","Luxury")))</f>
        <v>Budget</v>
      </c>
      <c r="L487" t="str">
        <f>IF(Table1[[#This Row],[units_sold]]&lt;50,"Very Low",IF(Table1[[#This Row],[units_sold]]&lt;150,"Low",IF(Table1[[#This Row],[units_sold]]&lt;300,"Medium","High")))</f>
        <v>High</v>
      </c>
      <c r="M487" t="str">
        <f t="shared" si="15"/>
        <v>Normal</v>
      </c>
      <c r="N487">
        <f>(Table1[[#This Row],[price]]*0.7)</f>
        <v>26.158999999999995</v>
      </c>
    </row>
    <row r="488" spans="1:14" x14ac:dyDescent="0.35">
      <c r="A488" t="str">
        <f t="shared" si="14"/>
        <v>P487</v>
      </c>
      <c r="B488" t="s">
        <v>16</v>
      </c>
      <c r="C488" t="s">
        <v>9</v>
      </c>
      <c r="D488">
        <v>728.71</v>
      </c>
      <c r="E488">
        <v>28</v>
      </c>
      <c r="F488">
        <v>3.5</v>
      </c>
      <c r="G488" t="b">
        <v>1</v>
      </c>
      <c r="H488">
        <f>(Table1[[#This Row],[price]]*Table1[[#This Row],[units_sold]])</f>
        <v>20403.88</v>
      </c>
      <c r="I488" t="str">
        <f>IF(Table1[[#This Row],[in_stock]]=TRUE,"Available","Out of stock")</f>
        <v>Available</v>
      </c>
      <c r="J488" t="str">
        <f>IF(Table1[[#This Row],[rating]]&gt;=4,"High",IF(Table1[[#This Row],[rating]]&gt;=2.5,"Medium","Low"))</f>
        <v>Medium</v>
      </c>
      <c r="K488" t="str">
        <f>IF(Table1[[#This Row],[price]]&lt;200,"Budget",IF(Table1[[#This Row],[price]]&lt;600,"Mid-Range",IF(Table1[[#This Row],[price]]&lt;1000,"Premium","Luxury")))</f>
        <v>Premium</v>
      </c>
      <c r="L488" t="str">
        <f>IF(Table1[[#This Row],[units_sold]]&lt;50,"Very Low",IF(Table1[[#This Row],[units_sold]]&lt;150,"Low",IF(Table1[[#This Row],[units_sold]]&lt;300,"Medium","High")))</f>
        <v>Very Low</v>
      </c>
      <c r="M488" t="str">
        <f t="shared" si="15"/>
        <v>Normal</v>
      </c>
      <c r="N488">
        <f>(Table1[[#This Row],[price]]*0.7)</f>
        <v>510.09699999999998</v>
      </c>
    </row>
    <row r="489" spans="1:14" x14ac:dyDescent="0.35">
      <c r="A489" t="str">
        <f t="shared" si="14"/>
        <v>P488</v>
      </c>
      <c r="B489" t="s">
        <v>13</v>
      </c>
      <c r="C489" t="s">
        <v>9</v>
      </c>
      <c r="D489">
        <v>323.42</v>
      </c>
      <c r="E489">
        <v>442</v>
      </c>
      <c r="F489">
        <v>4.9000000000000004</v>
      </c>
      <c r="G489" t="b">
        <v>1</v>
      </c>
      <c r="H489">
        <f>(Table1[[#This Row],[price]]*Table1[[#This Row],[units_sold]])</f>
        <v>142951.64000000001</v>
      </c>
      <c r="I489" t="str">
        <f>IF(Table1[[#This Row],[in_stock]]=TRUE,"Available","Out of stock")</f>
        <v>Available</v>
      </c>
      <c r="J489" t="str">
        <f>IF(Table1[[#This Row],[rating]]&gt;=4,"High",IF(Table1[[#This Row],[rating]]&gt;=2.5,"Medium","Low"))</f>
        <v>High</v>
      </c>
      <c r="K489" t="str">
        <f>IF(Table1[[#This Row],[price]]&lt;200,"Budget",IF(Table1[[#This Row],[price]]&lt;600,"Mid-Range",IF(Table1[[#This Row],[price]]&lt;1000,"Premium","Luxury")))</f>
        <v>Mid-Range</v>
      </c>
      <c r="L489" t="str">
        <f>IF(Table1[[#This Row],[units_sold]]&lt;50,"Very Low",IF(Table1[[#This Row],[units_sold]]&lt;150,"Low",IF(Table1[[#This Row],[units_sold]]&lt;300,"Medium","High")))</f>
        <v>High</v>
      </c>
      <c r="M489" t="str">
        <f t="shared" si="15"/>
        <v>Normal</v>
      </c>
      <c r="N489">
        <f>(Table1[[#This Row],[price]]*0.7)</f>
        <v>226.39400000000001</v>
      </c>
    </row>
    <row r="490" spans="1:14" x14ac:dyDescent="0.35">
      <c r="A490" t="str">
        <f t="shared" si="14"/>
        <v>P489</v>
      </c>
      <c r="B490" t="s">
        <v>17</v>
      </c>
      <c r="C490" t="s">
        <v>7</v>
      </c>
      <c r="D490">
        <v>525.55999999999995</v>
      </c>
      <c r="E490">
        <v>43</v>
      </c>
      <c r="F490">
        <v>1.8</v>
      </c>
      <c r="G490" t="b">
        <v>1</v>
      </c>
      <c r="H490">
        <f>(Table1[[#This Row],[price]]*Table1[[#This Row],[units_sold]])</f>
        <v>22599.079999999998</v>
      </c>
      <c r="I490" t="str">
        <f>IF(Table1[[#This Row],[in_stock]]=TRUE,"Available","Out of stock")</f>
        <v>Available</v>
      </c>
      <c r="J490" t="str">
        <f>IF(Table1[[#This Row],[rating]]&gt;=4,"High",IF(Table1[[#This Row],[rating]]&gt;=2.5,"Medium","Low"))</f>
        <v>Low</v>
      </c>
      <c r="K490" t="str">
        <f>IF(Table1[[#This Row],[price]]&lt;200,"Budget",IF(Table1[[#This Row],[price]]&lt;600,"Mid-Range",IF(Table1[[#This Row],[price]]&lt;1000,"Premium","Luxury")))</f>
        <v>Mid-Range</v>
      </c>
      <c r="L490" t="str">
        <f>IF(Table1[[#This Row],[units_sold]]&lt;50,"Very Low",IF(Table1[[#This Row],[units_sold]]&lt;150,"Low",IF(Table1[[#This Row],[units_sold]]&lt;300,"Medium","High")))</f>
        <v>Very Low</v>
      </c>
      <c r="M490" t="str">
        <f t="shared" si="15"/>
        <v>Normal</v>
      </c>
      <c r="N490">
        <f>(Table1[[#This Row],[price]]*0.7)</f>
        <v>367.89199999999994</v>
      </c>
    </row>
    <row r="491" spans="1:14" x14ac:dyDescent="0.35">
      <c r="A491" t="str">
        <f t="shared" si="14"/>
        <v>P490</v>
      </c>
      <c r="B491" t="s">
        <v>11</v>
      </c>
      <c r="C491" t="s">
        <v>9</v>
      </c>
      <c r="D491">
        <v>1165.95</v>
      </c>
      <c r="E491">
        <v>169</v>
      </c>
      <c r="F491">
        <v>4.2</v>
      </c>
      <c r="G491" t="b">
        <v>1</v>
      </c>
      <c r="H491">
        <f>(Table1[[#This Row],[price]]*Table1[[#This Row],[units_sold]])</f>
        <v>197045.55000000002</v>
      </c>
      <c r="I491" t="str">
        <f>IF(Table1[[#This Row],[in_stock]]=TRUE,"Available","Out of stock")</f>
        <v>Available</v>
      </c>
      <c r="J491" t="str">
        <f>IF(Table1[[#This Row],[rating]]&gt;=4,"High",IF(Table1[[#This Row],[rating]]&gt;=2.5,"Medium","Low"))</f>
        <v>High</v>
      </c>
      <c r="K491" t="str">
        <f>IF(Table1[[#This Row],[price]]&lt;200,"Budget",IF(Table1[[#This Row],[price]]&lt;600,"Mid-Range",IF(Table1[[#This Row],[price]]&lt;1000,"Premium","Luxury")))</f>
        <v>Luxury</v>
      </c>
      <c r="L491" t="str">
        <f>IF(Table1[[#This Row],[units_sold]]&lt;50,"Very Low",IF(Table1[[#This Row],[units_sold]]&lt;150,"Low",IF(Table1[[#This Row],[units_sold]]&lt;300,"Medium","High")))</f>
        <v>Medium</v>
      </c>
      <c r="M491" t="str">
        <f t="shared" si="15"/>
        <v>Normal</v>
      </c>
      <c r="N491">
        <f>(Table1[[#This Row],[price]]*0.7)</f>
        <v>816.16499999999996</v>
      </c>
    </row>
    <row r="492" spans="1:14" x14ac:dyDescent="0.35">
      <c r="A492" t="str">
        <f t="shared" si="14"/>
        <v>P491</v>
      </c>
      <c r="B492" t="s">
        <v>16</v>
      </c>
      <c r="C492" t="s">
        <v>9</v>
      </c>
      <c r="D492">
        <v>1412.44</v>
      </c>
      <c r="E492">
        <v>423</v>
      </c>
      <c r="F492">
        <v>4.5999999999999996</v>
      </c>
      <c r="G492" t="b">
        <v>0</v>
      </c>
      <c r="H492">
        <f>(Table1[[#This Row],[price]]*Table1[[#This Row],[units_sold]])</f>
        <v>597462.12</v>
      </c>
      <c r="I492" t="str">
        <f>IF(Table1[[#This Row],[in_stock]]=TRUE,"Available","Out of stock")</f>
        <v>Out of stock</v>
      </c>
      <c r="J492" t="str">
        <f>IF(Table1[[#This Row],[rating]]&gt;=4,"High",IF(Table1[[#This Row],[rating]]&gt;=2.5,"Medium","Low"))</f>
        <v>High</v>
      </c>
      <c r="K492" t="str">
        <f>IF(Table1[[#This Row],[price]]&lt;200,"Budget",IF(Table1[[#This Row],[price]]&lt;600,"Mid-Range",IF(Table1[[#This Row],[price]]&lt;1000,"Premium","Luxury")))</f>
        <v>Luxury</v>
      </c>
      <c r="L492" t="str">
        <f>IF(Table1[[#This Row],[units_sold]]&lt;50,"Very Low",IF(Table1[[#This Row],[units_sold]]&lt;150,"Low",IF(Table1[[#This Row],[units_sold]]&lt;300,"Medium","High")))</f>
        <v>High</v>
      </c>
      <c r="M492" t="str">
        <f t="shared" si="15"/>
        <v>High Demand - Out of Stock</v>
      </c>
      <c r="N492">
        <f>(Table1[[#This Row],[price]]*0.7)</f>
        <v>988.70799999999997</v>
      </c>
    </row>
    <row r="493" spans="1:14" x14ac:dyDescent="0.35">
      <c r="A493" t="str">
        <f t="shared" si="14"/>
        <v>P492</v>
      </c>
      <c r="B493" t="s">
        <v>14</v>
      </c>
      <c r="C493" t="s">
        <v>9</v>
      </c>
      <c r="D493">
        <v>117.9</v>
      </c>
      <c r="E493">
        <v>86</v>
      </c>
      <c r="F493">
        <v>4.8</v>
      </c>
      <c r="G493" t="b">
        <v>0</v>
      </c>
      <c r="H493">
        <f>(Table1[[#This Row],[price]]*Table1[[#This Row],[units_sold]])</f>
        <v>10139.4</v>
      </c>
      <c r="I493" t="str">
        <f>IF(Table1[[#This Row],[in_stock]]=TRUE,"Available","Out of stock")</f>
        <v>Out of stock</v>
      </c>
      <c r="J493" t="str">
        <f>IF(Table1[[#This Row],[rating]]&gt;=4,"High",IF(Table1[[#This Row],[rating]]&gt;=2.5,"Medium","Low"))</f>
        <v>High</v>
      </c>
      <c r="K493" t="str">
        <f>IF(Table1[[#This Row],[price]]&lt;200,"Budget",IF(Table1[[#This Row],[price]]&lt;600,"Mid-Range",IF(Table1[[#This Row],[price]]&lt;1000,"Premium","Luxury")))</f>
        <v>Budget</v>
      </c>
      <c r="L493" t="str">
        <f>IF(Table1[[#This Row],[units_sold]]&lt;50,"Very Low",IF(Table1[[#This Row],[units_sold]]&lt;150,"Low",IF(Table1[[#This Row],[units_sold]]&lt;300,"Medium","High")))</f>
        <v>Low</v>
      </c>
      <c r="M493" t="str">
        <f t="shared" si="15"/>
        <v>Normal</v>
      </c>
      <c r="N493">
        <f>(Table1[[#This Row],[price]]*0.7)</f>
        <v>82.53</v>
      </c>
    </row>
    <row r="494" spans="1:14" x14ac:dyDescent="0.35">
      <c r="A494" t="str">
        <f t="shared" si="14"/>
        <v>P493</v>
      </c>
      <c r="B494" t="s">
        <v>6</v>
      </c>
      <c r="C494" t="s">
        <v>7</v>
      </c>
      <c r="D494">
        <v>806.02</v>
      </c>
      <c r="E494">
        <v>177</v>
      </c>
      <c r="F494">
        <v>4.8</v>
      </c>
      <c r="G494" t="b">
        <v>0</v>
      </c>
      <c r="H494">
        <f>(Table1[[#This Row],[price]]*Table1[[#This Row],[units_sold]])</f>
        <v>142665.54</v>
      </c>
      <c r="I494" t="str">
        <f>IF(Table1[[#This Row],[in_stock]]=TRUE,"Available","Out of stock")</f>
        <v>Out of stock</v>
      </c>
      <c r="J494" t="str">
        <f>IF(Table1[[#This Row],[rating]]&gt;=4,"High",IF(Table1[[#This Row],[rating]]&gt;=2.5,"Medium","Low"))</f>
        <v>High</v>
      </c>
      <c r="K494" t="str">
        <f>IF(Table1[[#This Row],[price]]&lt;200,"Budget",IF(Table1[[#This Row],[price]]&lt;600,"Mid-Range",IF(Table1[[#This Row],[price]]&lt;1000,"Premium","Luxury")))</f>
        <v>Premium</v>
      </c>
      <c r="L494" t="str">
        <f>IF(Table1[[#This Row],[units_sold]]&lt;50,"Very Low",IF(Table1[[#This Row],[units_sold]]&lt;150,"Low",IF(Table1[[#This Row],[units_sold]]&lt;300,"Medium","High")))</f>
        <v>Medium</v>
      </c>
      <c r="M494" t="str">
        <f t="shared" si="15"/>
        <v>Normal</v>
      </c>
      <c r="N494">
        <f>(Table1[[#This Row],[price]]*0.7)</f>
        <v>564.21399999999994</v>
      </c>
    </row>
    <row r="495" spans="1:14" x14ac:dyDescent="0.35">
      <c r="A495" t="str">
        <f t="shared" si="14"/>
        <v>P494</v>
      </c>
      <c r="B495" t="s">
        <v>14</v>
      </c>
      <c r="C495" t="s">
        <v>9</v>
      </c>
      <c r="D495">
        <v>1324.97</v>
      </c>
      <c r="E495">
        <v>17</v>
      </c>
      <c r="F495">
        <v>3.1</v>
      </c>
      <c r="G495" t="b">
        <v>1</v>
      </c>
      <c r="H495">
        <f>(Table1[[#This Row],[price]]*Table1[[#This Row],[units_sold]])</f>
        <v>22524.49</v>
      </c>
      <c r="I495" t="str">
        <f>IF(Table1[[#This Row],[in_stock]]=TRUE,"Available","Out of stock")</f>
        <v>Available</v>
      </c>
      <c r="J495" t="str">
        <f>IF(Table1[[#This Row],[rating]]&gt;=4,"High",IF(Table1[[#This Row],[rating]]&gt;=2.5,"Medium","Low"))</f>
        <v>Medium</v>
      </c>
      <c r="K495" t="str">
        <f>IF(Table1[[#This Row],[price]]&lt;200,"Budget",IF(Table1[[#This Row],[price]]&lt;600,"Mid-Range",IF(Table1[[#This Row],[price]]&lt;1000,"Premium","Luxury")))</f>
        <v>Luxury</v>
      </c>
      <c r="L495" t="str">
        <f>IF(Table1[[#This Row],[units_sold]]&lt;50,"Very Low",IF(Table1[[#This Row],[units_sold]]&lt;150,"Low",IF(Table1[[#This Row],[units_sold]]&lt;300,"Medium","High")))</f>
        <v>Very Low</v>
      </c>
      <c r="M495" t="str">
        <f t="shared" si="15"/>
        <v>Normal</v>
      </c>
      <c r="N495">
        <f>(Table1[[#This Row],[price]]*0.7)</f>
        <v>927.47899999999993</v>
      </c>
    </row>
    <row r="496" spans="1:14" x14ac:dyDescent="0.35">
      <c r="A496" t="str">
        <f t="shared" si="14"/>
        <v>P495</v>
      </c>
      <c r="B496" t="s">
        <v>12</v>
      </c>
      <c r="C496" t="s">
        <v>7</v>
      </c>
      <c r="D496">
        <v>132.94</v>
      </c>
      <c r="E496">
        <v>98</v>
      </c>
      <c r="F496">
        <v>4.9000000000000004</v>
      </c>
      <c r="G496" t="b">
        <v>0</v>
      </c>
      <c r="H496">
        <f>(Table1[[#This Row],[price]]*Table1[[#This Row],[units_sold]])</f>
        <v>13028.119999999999</v>
      </c>
      <c r="I496" t="str">
        <f>IF(Table1[[#This Row],[in_stock]]=TRUE,"Available","Out of stock")</f>
        <v>Out of stock</v>
      </c>
      <c r="J496" t="str">
        <f>IF(Table1[[#This Row],[rating]]&gt;=4,"High",IF(Table1[[#This Row],[rating]]&gt;=2.5,"Medium","Low"))</f>
        <v>High</v>
      </c>
      <c r="K496" t="str">
        <f>IF(Table1[[#This Row],[price]]&lt;200,"Budget",IF(Table1[[#This Row],[price]]&lt;600,"Mid-Range",IF(Table1[[#This Row],[price]]&lt;1000,"Premium","Luxury")))</f>
        <v>Budget</v>
      </c>
      <c r="L496" t="str">
        <f>IF(Table1[[#This Row],[units_sold]]&lt;50,"Very Low",IF(Table1[[#This Row],[units_sold]]&lt;150,"Low",IF(Table1[[#This Row],[units_sold]]&lt;300,"Medium","High")))</f>
        <v>Low</v>
      </c>
      <c r="M496" t="str">
        <f t="shared" si="15"/>
        <v>Normal</v>
      </c>
      <c r="N496">
        <f>(Table1[[#This Row],[price]]*0.7)</f>
        <v>93.057999999999993</v>
      </c>
    </row>
    <row r="497" spans="1:14" x14ac:dyDescent="0.35">
      <c r="A497" t="str">
        <f t="shared" si="14"/>
        <v>P496</v>
      </c>
      <c r="B497" t="s">
        <v>16</v>
      </c>
      <c r="C497" t="s">
        <v>9</v>
      </c>
      <c r="D497">
        <v>1238.53</v>
      </c>
      <c r="E497">
        <v>454</v>
      </c>
      <c r="F497">
        <v>4</v>
      </c>
      <c r="G497" t="b">
        <v>1</v>
      </c>
      <c r="H497">
        <f>(Table1[[#This Row],[price]]*Table1[[#This Row],[units_sold]])</f>
        <v>562292.62</v>
      </c>
      <c r="I497" t="str">
        <f>IF(Table1[[#This Row],[in_stock]]=TRUE,"Available","Out of stock")</f>
        <v>Available</v>
      </c>
      <c r="J497" t="str">
        <f>IF(Table1[[#This Row],[rating]]&gt;=4,"High",IF(Table1[[#This Row],[rating]]&gt;=2.5,"Medium","Low"))</f>
        <v>High</v>
      </c>
      <c r="K497" t="str">
        <f>IF(Table1[[#This Row],[price]]&lt;200,"Budget",IF(Table1[[#This Row],[price]]&lt;600,"Mid-Range",IF(Table1[[#This Row],[price]]&lt;1000,"Premium","Luxury")))</f>
        <v>Luxury</v>
      </c>
      <c r="L497" t="str">
        <f>IF(Table1[[#This Row],[units_sold]]&lt;50,"Very Low",IF(Table1[[#This Row],[units_sold]]&lt;150,"Low",IF(Table1[[#This Row],[units_sold]]&lt;300,"Medium","High")))</f>
        <v>High</v>
      </c>
      <c r="M497" t="str">
        <f t="shared" si="15"/>
        <v>Normal</v>
      </c>
      <c r="N497">
        <f>(Table1[[#This Row],[price]]*0.7)</f>
        <v>866.97099999999989</v>
      </c>
    </row>
    <row r="498" spans="1:14" x14ac:dyDescent="0.35">
      <c r="A498" t="str">
        <f t="shared" si="14"/>
        <v>P497</v>
      </c>
      <c r="B498" t="s">
        <v>14</v>
      </c>
      <c r="C498" t="s">
        <v>9</v>
      </c>
      <c r="D498">
        <v>543.12</v>
      </c>
      <c r="E498">
        <v>494</v>
      </c>
      <c r="F498">
        <v>1.6</v>
      </c>
      <c r="G498" t="b">
        <v>1</v>
      </c>
      <c r="H498">
        <f>(Table1[[#This Row],[price]]*Table1[[#This Row],[units_sold]])</f>
        <v>268301.28000000003</v>
      </c>
      <c r="I498" t="str">
        <f>IF(Table1[[#This Row],[in_stock]]=TRUE,"Available","Out of stock")</f>
        <v>Available</v>
      </c>
      <c r="J498" t="str">
        <f>IF(Table1[[#This Row],[rating]]&gt;=4,"High",IF(Table1[[#This Row],[rating]]&gt;=2.5,"Medium","Low"))</f>
        <v>Low</v>
      </c>
      <c r="K498" t="str">
        <f>IF(Table1[[#This Row],[price]]&lt;200,"Budget",IF(Table1[[#This Row],[price]]&lt;600,"Mid-Range",IF(Table1[[#This Row],[price]]&lt;1000,"Premium","Luxury")))</f>
        <v>Mid-Range</v>
      </c>
      <c r="L498" t="str">
        <f>IF(Table1[[#This Row],[units_sold]]&lt;50,"Very Low",IF(Table1[[#This Row],[units_sold]]&lt;150,"Low",IF(Table1[[#This Row],[units_sold]]&lt;300,"Medium","High")))</f>
        <v>High</v>
      </c>
      <c r="M498" t="str">
        <f t="shared" si="15"/>
        <v>Normal</v>
      </c>
      <c r="N498">
        <f>(Table1[[#This Row],[price]]*0.7)</f>
        <v>380.18399999999997</v>
      </c>
    </row>
    <row r="499" spans="1:14" x14ac:dyDescent="0.35">
      <c r="A499" t="str">
        <f t="shared" si="14"/>
        <v>P498</v>
      </c>
      <c r="B499" t="s">
        <v>14</v>
      </c>
      <c r="C499" t="s">
        <v>9</v>
      </c>
      <c r="D499">
        <v>489.92</v>
      </c>
      <c r="E499">
        <v>198</v>
      </c>
      <c r="F499">
        <v>2.9</v>
      </c>
      <c r="G499" t="b">
        <v>1</v>
      </c>
      <c r="H499">
        <f>(Table1[[#This Row],[price]]*Table1[[#This Row],[units_sold]])</f>
        <v>97004.160000000003</v>
      </c>
      <c r="I499" t="str">
        <f>IF(Table1[[#This Row],[in_stock]]=TRUE,"Available","Out of stock")</f>
        <v>Available</v>
      </c>
      <c r="J499" t="str">
        <f>IF(Table1[[#This Row],[rating]]&gt;=4,"High",IF(Table1[[#This Row],[rating]]&gt;=2.5,"Medium","Low"))</f>
        <v>Medium</v>
      </c>
      <c r="K499" t="str">
        <f>IF(Table1[[#This Row],[price]]&lt;200,"Budget",IF(Table1[[#This Row],[price]]&lt;600,"Mid-Range",IF(Table1[[#This Row],[price]]&lt;1000,"Premium","Luxury")))</f>
        <v>Mid-Range</v>
      </c>
      <c r="L499" t="str">
        <f>IF(Table1[[#This Row],[units_sold]]&lt;50,"Very Low",IF(Table1[[#This Row],[units_sold]]&lt;150,"Low",IF(Table1[[#This Row],[units_sold]]&lt;300,"Medium","High")))</f>
        <v>Medium</v>
      </c>
      <c r="M499" t="str">
        <f t="shared" si="15"/>
        <v>Normal</v>
      </c>
      <c r="N499">
        <f>(Table1[[#This Row],[price]]*0.7)</f>
        <v>342.94400000000002</v>
      </c>
    </row>
    <row r="500" spans="1:14" x14ac:dyDescent="0.35">
      <c r="A500" t="str">
        <f t="shared" si="14"/>
        <v>P499</v>
      </c>
      <c r="B500" t="s">
        <v>8</v>
      </c>
      <c r="C500" t="s">
        <v>9</v>
      </c>
      <c r="D500">
        <v>1466.42</v>
      </c>
      <c r="E500">
        <v>98</v>
      </c>
      <c r="F500">
        <v>3.9</v>
      </c>
      <c r="G500" t="b">
        <v>1</v>
      </c>
      <c r="H500">
        <f>(Table1[[#This Row],[price]]*Table1[[#This Row],[units_sold]])</f>
        <v>143709.16</v>
      </c>
      <c r="I500" t="str">
        <f>IF(Table1[[#This Row],[in_stock]]=TRUE,"Available","Out of stock")</f>
        <v>Available</v>
      </c>
      <c r="J500" t="str">
        <f>IF(Table1[[#This Row],[rating]]&gt;=4,"High",IF(Table1[[#This Row],[rating]]&gt;=2.5,"Medium","Low"))</f>
        <v>Medium</v>
      </c>
      <c r="K500" t="str">
        <f>IF(Table1[[#This Row],[price]]&lt;200,"Budget",IF(Table1[[#This Row],[price]]&lt;600,"Mid-Range",IF(Table1[[#This Row],[price]]&lt;1000,"Premium","Luxury")))</f>
        <v>Luxury</v>
      </c>
      <c r="L500" t="str">
        <f>IF(Table1[[#This Row],[units_sold]]&lt;50,"Very Low",IF(Table1[[#This Row],[units_sold]]&lt;150,"Low",IF(Table1[[#This Row],[units_sold]]&lt;300,"Medium","High")))</f>
        <v>Low</v>
      </c>
      <c r="M500" t="str">
        <f t="shared" si="15"/>
        <v>Normal</v>
      </c>
      <c r="N500">
        <f>(Table1[[#This Row],[price]]*0.7)</f>
        <v>1026.4939999999999</v>
      </c>
    </row>
    <row r="501" spans="1:14" x14ac:dyDescent="0.35">
      <c r="A501" t="str">
        <f t="shared" si="14"/>
        <v>P500</v>
      </c>
      <c r="B501" t="s">
        <v>13</v>
      </c>
      <c r="C501" t="s">
        <v>9</v>
      </c>
      <c r="D501">
        <v>309.27999999999997</v>
      </c>
      <c r="E501">
        <v>65</v>
      </c>
      <c r="F501">
        <v>2</v>
      </c>
      <c r="G501" t="b">
        <v>1</v>
      </c>
      <c r="H501">
        <f>(Table1[[#This Row],[price]]*Table1[[#This Row],[units_sold]])</f>
        <v>20103.199999999997</v>
      </c>
      <c r="I501" t="str">
        <f>IF(Table1[[#This Row],[in_stock]]=TRUE,"Available","Out of stock")</f>
        <v>Available</v>
      </c>
      <c r="J501" t="str">
        <f>IF(Table1[[#This Row],[rating]]&gt;=4,"High",IF(Table1[[#This Row],[rating]]&gt;=2.5,"Medium","Low"))</f>
        <v>Low</v>
      </c>
      <c r="K501" t="str">
        <f>IF(Table1[[#This Row],[price]]&lt;200,"Budget",IF(Table1[[#This Row],[price]]&lt;600,"Mid-Range",IF(Table1[[#This Row],[price]]&lt;1000,"Premium","Luxury")))</f>
        <v>Mid-Range</v>
      </c>
      <c r="L501" t="str">
        <f>IF(Table1[[#This Row],[units_sold]]&lt;50,"Very Low",IF(Table1[[#This Row],[units_sold]]&lt;150,"Low",IF(Table1[[#This Row],[units_sold]]&lt;300,"Medium","High")))</f>
        <v>Low</v>
      </c>
      <c r="M501" t="str">
        <f t="shared" si="15"/>
        <v>Normal</v>
      </c>
      <c r="N501">
        <f>(Table1[[#This Row],[price]]*0.7)</f>
        <v>216.49599999999998</v>
      </c>
    </row>
    <row r="502" spans="1:14" x14ac:dyDescent="0.35">
      <c r="A502" t="str">
        <f t="shared" si="14"/>
        <v>P501</v>
      </c>
      <c r="B502" t="s">
        <v>8</v>
      </c>
      <c r="C502" t="s">
        <v>9</v>
      </c>
      <c r="D502">
        <v>1042.8599999999999</v>
      </c>
      <c r="E502">
        <v>330</v>
      </c>
      <c r="F502">
        <v>3.6</v>
      </c>
      <c r="G502" t="b">
        <v>1</v>
      </c>
      <c r="H502">
        <f>(Table1[[#This Row],[price]]*Table1[[#This Row],[units_sold]])</f>
        <v>344143.8</v>
      </c>
      <c r="I502" t="str">
        <f>IF(Table1[[#This Row],[in_stock]]=TRUE,"Available","Out of stock")</f>
        <v>Available</v>
      </c>
      <c r="J502" t="str">
        <f>IF(Table1[[#This Row],[rating]]&gt;=4,"High",IF(Table1[[#This Row],[rating]]&gt;=2.5,"Medium","Low"))</f>
        <v>Medium</v>
      </c>
      <c r="K502" t="str">
        <f>IF(Table1[[#This Row],[price]]&lt;200,"Budget",IF(Table1[[#This Row],[price]]&lt;600,"Mid-Range",IF(Table1[[#This Row],[price]]&lt;1000,"Premium","Luxury")))</f>
        <v>Luxury</v>
      </c>
      <c r="L502" t="str">
        <f>IF(Table1[[#This Row],[units_sold]]&lt;50,"Very Low",IF(Table1[[#This Row],[units_sold]]&lt;150,"Low",IF(Table1[[#This Row],[units_sold]]&lt;300,"Medium","High")))</f>
        <v>High</v>
      </c>
      <c r="M502" t="str">
        <f t="shared" si="15"/>
        <v>Normal</v>
      </c>
      <c r="N502">
        <f>(Table1[[#This Row],[price]]*0.7)</f>
        <v>730.00199999999984</v>
      </c>
    </row>
    <row r="503" spans="1:14" x14ac:dyDescent="0.35">
      <c r="A503" t="str">
        <f t="shared" si="14"/>
        <v>P502</v>
      </c>
      <c r="B503" t="s">
        <v>16</v>
      </c>
      <c r="C503" t="s">
        <v>9</v>
      </c>
      <c r="D503">
        <v>1233.95</v>
      </c>
      <c r="E503">
        <v>341</v>
      </c>
      <c r="F503">
        <v>3.7</v>
      </c>
      <c r="G503" t="b">
        <v>1</v>
      </c>
      <c r="H503">
        <f>(Table1[[#This Row],[price]]*Table1[[#This Row],[units_sold]])</f>
        <v>420776.95</v>
      </c>
      <c r="I503" t="str">
        <f>IF(Table1[[#This Row],[in_stock]]=TRUE,"Available","Out of stock")</f>
        <v>Available</v>
      </c>
      <c r="J503" t="str">
        <f>IF(Table1[[#This Row],[rating]]&gt;=4,"High",IF(Table1[[#This Row],[rating]]&gt;=2.5,"Medium","Low"))</f>
        <v>Medium</v>
      </c>
      <c r="K503" t="str">
        <f>IF(Table1[[#This Row],[price]]&lt;200,"Budget",IF(Table1[[#This Row],[price]]&lt;600,"Mid-Range",IF(Table1[[#This Row],[price]]&lt;1000,"Premium","Luxury")))</f>
        <v>Luxury</v>
      </c>
      <c r="L503" t="str">
        <f>IF(Table1[[#This Row],[units_sold]]&lt;50,"Very Low",IF(Table1[[#This Row],[units_sold]]&lt;150,"Low",IF(Table1[[#This Row],[units_sold]]&lt;300,"Medium","High")))</f>
        <v>High</v>
      </c>
      <c r="M503" t="str">
        <f t="shared" si="15"/>
        <v>Normal</v>
      </c>
      <c r="N503">
        <f>(Table1[[#This Row],[price]]*0.7)</f>
        <v>863.76499999999999</v>
      </c>
    </row>
    <row r="504" spans="1:14" x14ac:dyDescent="0.35">
      <c r="A504" t="str">
        <f t="shared" si="14"/>
        <v>P503</v>
      </c>
      <c r="B504" t="s">
        <v>16</v>
      </c>
      <c r="C504" t="s">
        <v>9</v>
      </c>
      <c r="D504">
        <v>71.36</v>
      </c>
      <c r="E504">
        <v>5</v>
      </c>
      <c r="F504">
        <v>1.7</v>
      </c>
      <c r="G504" t="b">
        <v>1</v>
      </c>
      <c r="H504">
        <f>(Table1[[#This Row],[price]]*Table1[[#This Row],[units_sold]])</f>
        <v>356.8</v>
      </c>
      <c r="I504" t="str">
        <f>IF(Table1[[#This Row],[in_stock]]=TRUE,"Available","Out of stock")</f>
        <v>Available</v>
      </c>
      <c r="J504" t="str">
        <f>IF(Table1[[#This Row],[rating]]&gt;=4,"High",IF(Table1[[#This Row],[rating]]&gt;=2.5,"Medium","Low"))</f>
        <v>Low</v>
      </c>
      <c r="K504" t="str">
        <f>IF(Table1[[#This Row],[price]]&lt;200,"Budget",IF(Table1[[#This Row],[price]]&lt;600,"Mid-Range",IF(Table1[[#This Row],[price]]&lt;1000,"Premium","Luxury")))</f>
        <v>Budget</v>
      </c>
      <c r="L504" t="str">
        <f>IF(Table1[[#This Row],[units_sold]]&lt;50,"Very Low",IF(Table1[[#This Row],[units_sold]]&lt;150,"Low",IF(Table1[[#This Row],[units_sold]]&lt;300,"Medium","High")))</f>
        <v>Very Low</v>
      </c>
      <c r="M504" t="str">
        <f t="shared" si="15"/>
        <v>Normal</v>
      </c>
      <c r="N504">
        <f>(Table1[[#This Row],[price]]*0.7)</f>
        <v>49.951999999999998</v>
      </c>
    </row>
    <row r="505" spans="1:14" x14ac:dyDescent="0.35">
      <c r="A505" t="str">
        <f t="shared" si="14"/>
        <v>P504</v>
      </c>
      <c r="B505" t="s">
        <v>17</v>
      </c>
      <c r="C505" t="s">
        <v>7</v>
      </c>
      <c r="D505">
        <v>1008.87</v>
      </c>
      <c r="E505">
        <v>2</v>
      </c>
      <c r="F505">
        <v>3.3</v>
      </c>
      <c r="G505" t="b">
        <v>1</v>
      </c>
      <c r="H505">
        <f>(Table1[[#This Row],[price]]*Table1[[#This Row],[units_sold]])</f>
        <v>2017.74</v>
      </c>
      <c r="I505" t="str">
        <f>IF(Table1[[#This Row],[in_stock]]=TRUE,"Available","Out of stock")</f>
        <v>Available</v>
      </c>
      <c r="J505" t="str">
        <f>IF(Table1[[#This Row],[rating]]&gt;=4,"High",IF(Table1[[#This Row],[rating]]&gt;=2.5,"Medium","Low"))</f>
        <v>Medium</v>
      </c>
      <c r="K505" t="str">
        <f>IF(Table1[[#This Row],[price]]&lt;200,"Budget",IF(Table1[[#This Row],[price]]&lt;600,"Mid-Range",IF(Table1[[#This Row],[price]]&lt;1000,"Premium","Luxury")))</f>
        <v>Luxury</v>
      </c>
      <c r="L505" t="str">
        <f>IF(Table1[[#This Row],[units_sold]]&lt;50,"Very Low",IF(Table1[[#This Row],[units_sold]]&lt;150,"Low",IF(Table1[[#This Row],[units_sold]]&lt;300,"Medium","High")))</f>
        <v>Very Low</v>
      </c>
      <c r="M505" t="str">
        <f t="shared" si="15"/>
        <v>Normal</v>
      </c>
      <c r="N505">
        <f>(Table1[[#This Row],[price]]*0.7)</f>
        <v>706.20899999999995</v>
      </c>
    </row>
    <row r="506" spans="1:14" x14ac:dyDescent="0.35">
      <c r="A506" t="str">
        <f t="shared" si="14"/>
        <v>P505</v>
      </c>
      <c r="B506" t="s">
        <v>8</v>
      </c>
      <c r="C506" t="s">
        <v>9</v>
      </c>
      <c r="D506">
        <v>1427.81</v>
      </c>
      <c r="E506">
        <v>22</v>
      </c>
      <c r="F506">
        <v>4.0999999999999996</v>
      </c>
      <c r="G506" t="b">
        <v>1</v>
      </c>
      <c r="H506">
        <f>(Table1[[#This Row],[price]]*Table1[[#This Row],[units_sold]])</f>
        <v>31411.82</v>
      </c>
      <c r="I506" t="str">
        <f>IF(Table1[[#This Row],[in_stock]]=TRUE,"Available","Out of stock")</f>
        <v>Available</v>
      </c>
      <c r="J506" t="str">
        <f>IF(Table1[[#This Row],[rating]]&gt;=4,"High",IF(Table1[[#This Row],[rating]]&gt;=2.5,"Medium","Low"))</f>
        <v>High</v>
      </c>
      <c r="K506" t="str">
        <f>IF(Table1[[#This Row],[price]]&lt;200,"Budget",IF(Table1[[#This Row],[price]]&lt;600,"Mid-Range",IF(Table1[[#This Row],[price]]&lt;1000,"Premium","Luxury")))</f>
        <v>Luxury</v>
      </c>
      <c r="L506" t="str">
        <f>IF(Table1[[#This Row],[units_sold]]&lt;50,"Very Low",IF(Table1[[#This Row],[units_sold]]&lt;150,"Low",IF(Table1[[#This Row],[units_sold]]&lt;300,"Medium","High")))</f>
        <v>Very Low</v>
      </c>
      <c r="M506" t="str">
        <f t="shared" si="15"/>
        <v>Normal</v>
      </c>
      <c r="N506">
        <f>(Table1[[#This Row],[price]]*0.7)</f>
        <v>999.46699999999987</v>
      </c>
    </row>
    <row r="507" spans="1:14" x14ac:dyDescent="0.35">
      <c r="A507" t="str">
        <f t="shared" si="14"/>
        <v>P506</v>
      </c>
      <c r="B507" t="s">
        <v>15</v>
      </c>
      <c r="C507" t="s">
        <v>7</v>
      </c>
      <c r="D507">
        <v>195.09</v>
      </c>
      <c r="E507">
        <v>112</v>
      </c>
      <c r="F507">
        <v>3</v>
      </c>
      <c r="G507" t="b">
        <v>1</v>
      </c>
      <c r="H507">
        <f>(Table1[[#This Row],[price]]*Table1[[#This Row],[units_sold]])</f>
        <v>21850.080000000002</v>
      </c>
      <c r="I507" t="str">
        <f>IF(Table1[[#This Row],[in_stock]]=TRUE,"Available","Out of stock")</f>
        <v>Available</v>
      </c>
      <c r="J507" t="str">
        <f>IF(Table1[[#This Row],[rating]]&gt;=4,"High",IF(Table1[[#This Row],[rating]]&gt;=2.5,"Medium","Low"))</f>
        <v>Medium</v>
      </c>
      <c r="K507" t="str">
        <f>IF(Table1[[#This Row],[price]]&lt;200,"Budget",IF(Table1[[#This Row],[price]]&lt;600,"Mid-Range",IF(Table1[[#This Row],[price]]&lt;1000,"Premium","Luxury")))</f>
        <v>Budget</v>
      </c>
      <c r="L507" t="str">
        <f>IF(Table1[[#This Row],[units_sold]]&lt;50,"Very Low",IF(Table1[[#This Row],[units_sold]]&lt;150,"Low",IF(Table1[[#This Row],[units_sold]]&lt;300,"Medium","High")))</f>
        <v>Low</v>
      </c>
      <c r="M507" t="str">
        <f t="shared" si="15"/>
        <v>Normal</v>
      </c>
      <c r="N507">
        <f>(Table1[[#This Row],[price]]*0.7)</f>
        <v>136.56299999999999</v>
      </c>
    </row>
    <row r="508" spans="1:14" x14ac:dyDescent="0.35">
      <c r="A508" t="str">
        <f t="shared" si="14"/>
        <v>P507</v>
      </c>
      <c r="B508" t="s">
        <v>13</v>
      </c>
      <c r="C508" t="s">
        <v>9</v>
      </c>
      <c r="D508">
        <v>1345.37</v>
      </c>
      <c r="E508">
        <v>57</v>
      </c>
      <c r="F508">
        <v>1</v>
      </c>
      <c r="G508" t="b">
        <v>0</v>
      </c>
      <c r="H508">
        <f>(Table1[[#This Row],[price]]*Table1[[#This Row],[units_sold]])</f>
        <v>76686.09</v>
      </c>
      <c r="I508" t="str">
        <f>IF(Table1[[#This Row],[in_stock]]=TRUE,"Available","Out of stock")</f>
        <v>Out of stock</v>
      </c>
      <c r="J508" t="str">
        <f>IF(Table1[[#This Row],[rating]]&gt;=4,"High",IF(Table1[[#This Row],[rating]]&gt;=2.5,"Medium","Low"))</f>
        <v>Low</v>
      </c>
      <c r="K508" t="str">
        <f>IF(Table1[[#This Row],[price]]&lt;200,"Budget",IF(Table1[[#This Row],[price]]&lt;600,"Mid-Range",IF(Table1[[#This Row],[price]]&lt;1000,"Premium","Luxury")))</f>
        <v>Luxury</v>
      </c>
      <c r="L508" t="str">
        <f>IF(Table1[[#This Row],[units_sold]]&lt;50,"Very Low",IF(Table1[[#This Row],[units_sold]]&lt;150,"Low",IF(Table1[[#This Row],[units_sold]]&lt;300,"Medium","High")))</f>
        <v>Low</v>
      </c>
      <c r="M508" t="str">
        <f t="shared" si="15"/>
        <v>Normal</v>
      </c>
      <c r="N508">
        <f>(Table1[[#This Row],[price]]*0.7)</f>
        <v>941.7589999999999</v>
      </c>
    </row>
    <row r="509" spans="1:14" x14ac:dyDescent="0.35">
      <c r="A509" t="str">
        <f t="shared" si="14"/>
        <v>P508</v>
      </c>
      <c r="B509" t="s">
        <v>16</v>
      </c>
      <c r="C509" t="s">
        <v>9</v>
      </c>
      <c r="D509">
        <v>896.22</v>
      </c>
      <c r="E509">
        <v>66</v>
      </c>
      <c r="F509">
        <v>1</v>
      </c>
      <c r="G509" t="b">
        <v>0</v>
      </c>
      <c r="H509">
        <f>(Table1[[#This Row],[price]]*Table1[[#This Row],[units_sold]])</f>
        <v>59150.520000000004</v>
      </c>
      <c r="I509" t="str">
        <f>IF(Table1[[#This Row],[in_stock]]=TRUE,"Available","Out of stock")</f>
        <v>Out of stock</v>
      </c>
      <c r="J509" t="str">
        <f>IF(Table1[[#This Row],[rating]]&gt;=4,"High",IF(Table1[[#This Row],[rating]]&gt;=2.5,"Medium","Low"))</f>
        <v>Low</v>
      </c>
      <c r="K509" t="str">
        <f>IF(Table1[[#This Row],[price]]&lt;200,"Budget",IF(Table1[[#This Row],[price]]&lt;600,"Mid-Range",IF(Table1[[#This Row],[price]]&lt;1000,"Premium","Luxury")))</f>
        <v>Premium</v>
      </c>
      <c r="L509" t="str">
        <f>IF(Table1[[#This Row],[units_sold]]&lt;50,"Very Low",IF(Table1[[#This Row],[units_sold]]&lt;150,"Low",IF(Table1[[#This Row],[units_sold]]&lt;300,"Medium","High")))</f>
        <v>Low</v>
      </c>
      <c r="M509" t="str">
        <f t="shared" si="15"/>
        <v>Normal</v>
      </c>
      <c r="N509">
        <f>(Table1[[#This Row],[price]]*0.7)</f>
        <v>627.35399999999993</v>
      </c>
    </row>
    <row r="510" spans="1:14" x14ac:dyDescent="0.35">
      <c r="A510" t="str">
        <f t="shared" si="14"/>
        <v>P509</v>
      </c>
      <c r="B510" t="s">
        <v>17</v>
      </c>
      <c r="C510" t="s">
        <v>7</v>
      </c>
      <c r="D510">
        <v>928.74</v>
      </c>
      <c r="E510">
        <v>330</v>
      </c>
      <c r="F510">
        <v>2.4</v>
      </c>
      <c r="G510" t="b">
        <v>1</v>
      </c>
      <c r="H510">
        <f>(Table1[[#This Row],[price]]*Table1[[#This Row],[units_sold]])</f>
        <v>306484.2</v>
      </c>
      <c r="I510" t="str">
        <f>IF(Table1[[#This Row],[in_stock]]=TRUE,"Available","Out of stock")</f>
        <v>Available</v>
      </c>
      <c r="J510" t="str">
        <f>IF(Table1[[#This Row],[rating]]&gt;=4,"High",IF(Table1[[#This Row],[rating]]&gt;=2.5,"Medium","Low"))</f>
        <v>Low</v>
      </c>
      <c r="K510" t="str">
        <f>IF(Table1[[#This Row],[price]]&lt;200,"Budget",IF(Table1[[#This Row],[price]]&lt;600,"Mid-Range",IF(Table1[[#This Row],[price]]&lt;1000,"Premium","Luxury")))</f>
        <v>Premium</v>
      </c>
      <c r="L510" t="str">
        <f>IF(Table1[[#This Row],[units_sold]]&lt;50,"Very Low",IF(Table1[[#This Row],[units_sold]]&lt;150,"Low",IF(Table1[[#This Row],[units_sold]]&lt;300,"Medium","High")))</f>
        <v>High</v>
      </c>
      <c r="M510" t="str">
        <f t="shared" si="15"/>
        <v>Normal</v>
      </c>
      <c r="N510">
        <f>(Table1[[#This Row],[price]]*0.7)</f>
        <v>650.11799999999994</v>
      </c>
    </row>
    <row r="511" spans="1:14" x14ac:dyDescent="0.35">
      <c r="A511" t="str">
        <f t="shared" si="14"/>
        <v>P510</v>
      </c>
      <c r="B511" t="s">
        <v>8</v>
      </c>
      <c r="C511" t="s">
        <v>9</v>
      </c>
      <c r="D511">
        <v>923.29</v>
      </c>
      <c r="E511">
        <v>98</v>
      </c>
      <c r="F511">
        <v>4.7</v>
      </c>
      <c r="G511" t="b">
        <v>1</v>
      </c>
      <c r="H511">
        <f>(Table1[[#This Row],[price]]*Table1[[#This Row],[units_sold]])</f>
        <v>90482.42</v>
      </c>
      <c r="I511" t="str">
        <f>IF(Table1[[#This Row],[in_stock]]=TRUE,"Available","Out of stock")</f>
        <v>Available</v>
      </c>
      <c r="J511" t="str">
        <f>IF(Table1[[#This Row],[rating]]&gt;=4,"High",IF(Table1[[#This Row],[rating]]&gt;=2.5,"Medium","Low"))</f>
        <v>High</v>
      </c>
      <c r="K511" t="str">
        <f>IF(Table1[[#This Row],[price]]&lt;200,"Budget",IF(Table1[[#This Row],[price]]&lt;600,"Mid-Range",IF(Table1[[#This Row],[price]]&lt;1000,"Premium","Luxury")))</f>
        <v>Premium</v>
      </c>
      <c r="L511" t="str">
        <f>IF(Table1[[#This Row],[units_sold]]&lt;50,"Very Low",IF(Table1[[#This Row],[units_sold]]&lt;150,"Low",IF(Table1[[#This Row],[units_sold]]&lt;300,"Medium","High")))</f>
        <v>Low</v>
      </c>
      <c r="M511" t="str">
        <f t="shared" si="15"/>
        <v>Normal</v>
      </c>
      <c r="N511">
        <f>(Table1[[#This Row],[price]]*0.7)</f>
        <v>646.30299999999988</v>
      </c>
    </row>
    <row r="512" spans="1:14" x14ac:dyDescent="0.35">
      <c r="A512" t="str">
        <f t="shared" si="14"/>
        <v>P511</v>
      </c>
      <c r="B512" t="s">
        <v>13</v>
      </c>
      <c r="C512" t="s">
        <v>9</v>
      </c>
      <c r="D512">
        <v>455.27</v>
      </c>
      <c r="E512">
        <v>144</v>
      </c>
      <c r="F512">
        <v>1.9</v>
      </c>
      <c r="G512" t="b">
        <v>1</v>
      </c>
      <c r="H512">
        <f>(Table1[[#This Row],[price]]*Table1[[#This Row],[units_sold]])</f>
        <v>65558.880000000005</v>
      </c>
      <c r="I512" t="str">
        <f>IF(Table1[[#This Row],[in_stock]]=TRUE,"Available","Out of stock")</f>
        <v>Available</v>
      </c>
      <c r="J512" t="str">
        <f>IF(Table1[[#This Row],[rating]]&gt;=4,"High",IF(Table1[[#This Row],[rating]]&gt;=2.5,"Medium","Low"))</f>
        <v>Low</v>
      </c>
      <c r="K512" t="str">
        <f>IF(Table1[[#This Row],[price]]&lt;200,"Budget",IF(Table1[[#This Row],[price]]&lt;600,"Mid-Range",IF(Table1[[#This Row],[price]]&lt;1000,"Premium","Luxury")))</f>
        <v>Mid-Range</v>
      </c>
      <c r="L512" t="str">
        <f>IF(Table1[[#This Row],[units_sold]]&lt;50,"Very Low",IF(Table1[[#This Row],[units_sold]]&lt;150,"Low",IF(Table1[[#This Row],[units_sold]]&lt;300,"Medium","High")))</f>
        <v>Low</v>
      </c>
      <c r="M512" t="str">
        <f t="shared" si="15"/>
        <v>Normal</v>
      </c>
      <c r="N512">
        <f>(Table1[[#This Row],[price]]*0.7)</f>
        <v>318.68899999999996</v>
      </c>
    </row>
    <row r="513" spans="1:14" x14ac:dyDescent="0.35">
      <c r="A513" t="str">
        <f t="shared" si="14"/>
        <v>P512</v>
      </c>
      <c r="B513" t="s">
        <v>8</v>
      </c>
      <c r="C513" t="s">
        <v>9</v>
      </c>
      <c r="D513">
        <v>1403.45</v>
      </c>
      <c r="E513">
        <v>368</v>
      </c>
      <c r="F513">
        <v>3.5</v>
      </c>
      <c r="G513" t="b">
        <v>0</v>
      </c>
      <c r="H513">
        <f>(Table1[[#This Row],[price]]*Table1[[#This Row],[units_sold]])</f>
        <v>516469.60000000003</v>
      </c>
      <c r="I513" t="str">
        <f>IF(Table1[[#This Row],[in_stock]]=TRUE,"Available","Out of stock")</f>
        <v>Out of stock</v>
      </c>
      <c r="J513" t="str">
        <f>IF(Table1[[#This Row],[rating]]&gt;=4,"High",IF(Table1[[#This Row],[rating]]&gt;=2.5,"Medium","Low"))</f>
        <v>Medium</v>
      </c>
      <c r="K513" t="str">
        <f>IF(Table1[[#This Row],[price]]&lt;200,"Budget",IF(Table1[[#This Row],[price]]&lt;600,"Mid-Range",IF(Table1[[#This Row],[price]]&lt;1000,"Premium","Luxury")))</f>
        <v>Luxury</v>
      </c>
      <c r="L513" t="str">
        <f>IF(Table1[[#This Row],[units_sold]]&lt;50,"Very Low",IF(Table1[[#This Row],[units_sold]]&lt;150,"Low",IF(Table1[[#This Row],[units_sold]]&lt;300,"Medium","High")))</f>
        <v>High</v>
      </c>
      <c r="M513" t="str">
        <f t="shared" si="15"/>
        <v>High Demand - Out of Stock</v>
      </c>
      <c r="N513">
        <f>(Table1[[#This Row],[price]]*0.7)</f>
        <v>982.41499999999996</v>
      </c>
    </row>
    <row r="514" spans="1:14" x14ac:dyDescent="0.35">
      <c r="A514" t="str">
        <f t="shared" ref="A514:A577" si="16">"P"&amp;TEXT(ROW()-1,"000")</f>
        <v>P513</v>
      </c>
      <c r="B514" t="s">
        <v>14</v>
      </c>
      <c r="C514" t="s">
        <v>9</v>
      </c>
      <c r="D514">
        <v>1421.55</v>
      </c>
      <c r="E514">
        <v>435</v>
      </c>
      <c r="F514">
        <v>1.9</v>
      </c>
      <c r="G514" t="b">
        <v>1</v>
      </c>
      <c r="H514">
        <f>(Table1[[#This Row],[price]]*Table1[[#This Row],[units_sold]])</f>
        <v>618374.25</v>
      </c>
      <c r="I514" t="str">
        <f>IF(Table1[[#This Row],[in_stock]]=TRUE,"Available","Out of stock")</f>
        <v>Available</v>
      </c>
      <c r="J514" t="str">
        <f>IF(Table1[[#This Row],[rating]]&gt;=4,"High",IF(Table1[[#This Row],[rating]]&gt;=2.5,"Medium","Low"))</f>
        <v>Low</v>
      </c>
      <c r="K514" t="str">
        <f>IF(Table1[[#This Row],[price]]&lt;200,"Budget",IF(Table1[[#This Row],[price]]&lt;600,"Mid-Range",IF(Table1[[#This Row],[price]]&lt;1000,"Premium","Luxury")))</f>
        <v>Luxury</v>
      </c>
      <c r="L514" t="str">
        <f>IF(Table1[[#This Row],[units_sold]]&lt;50,"Very Low",IF(Table1[[#This Row],[units_sold]]&lt;150,"Low",IF(Table1[[#This Row],[units_sold]]&lt;300,"Medium","High")))</f>
        <v>High</v>
      </c>
      <c r="M514" t="str">
        <f t="shared" ref="M514:M577" si="17">IF(AND(E514&gt;300,G514=FALSE),"High Demand - Out of Stock","Normal")</f>
        <v>Normal</v>
      </c>
      <c r="N514">
        <f>(Table1[[#This Row],[price]]*0.7)</f>
        <v>995.08499999999992</v>
      </c>
    </row>
    <row r="515" spans="1:14" x14ac:dyDescent="0.35">
      <c r="A515" t="str">
        <f t="shared" si="16"/>
        <v>P514</v>
      </c>
      <c r="B515" t="s">
        <v>17</v>
      </c>
      <c r="C515" t="s">
        <v>7</v>
      </c>
      <c r="D515">
        <v>941.7</v>
      </c>
      <c r="E515">
        <v>125</v>
      </c>
      <c r="F515">
        <v>2.2999999999999998</v>
      </c>
      <c r="G515" t="b">
        <v>1</v>
      </c>
      <c r="H515">
        <f>(Table1[[#This Row],[price]]*Table1[[#This Row],[units_sold]])</f>
        <v>117712.5</v>
      </c>
      <c r="I515" t="str">
        <f>IF(Table1[[#This Row],[in_stock]]=TRUE,"Available","Out of stock")</f>
        <v>Available</v>
      </c>
      <c r="J515" t="str">
        <f>IF(Table1[[#This Row],[rating]]&gt;=4,"High",IF(Table1[[#This Row],[rating]]&gt;=2.5,"Medium","Low"))</f>
        <v>Low</v>
      </c>
      <c r="K515" t="str">
        <f>IF(Table1[[#This Row],[price]]&lt;200,"Budget",IF(Table1[[#This Row],[price]]&lt;600,"Mid-Range",IF(Table1[[#This Row],[price]]&lt;1000,"Premium","Luxury")))</f>
        <v>Premium</v>
      </c>
      <c r="L515" t="str">
        <f>IF(Table1[[#This Row],[units_sold]]&lt;50,"Very Low",IF(Table1[[#This Row],[units_sold]]&lt;150,"Low",IF(Table1[[#This Row],[units_sold]]&lt;300,"Medium","High")))</f>
        <v>Low</v>
      </c>
      <c r="M515" t="str">
        <f t="shared" si="17"/>
        <v>Normal</v>
      </c>
      <c r="N515">
        <f>(Table1[[#This Row],[price]]*0.7)</f>
        <v>659.18999999999994</v>
      </c>
    </row>
    <row r="516" spans="1:14" x14ac:dyDescent="0.35">
      <c r="A516" t="str">
        <f t="shared" si="16"/>
        <v>P515</v>
      </c>
      <c r="B516" t="s">
        <v>13</v>
      </c>
      <c r="C516" t="s">
        <v>9</v>
      </c>
      <c r="D516">
        <v>1177.3</v>
      </c>
      <c r="E516">
        <v>167</v>
      </c>
      <c r="F516">
        <v>4.4000000000000004</v>
      </c>
      <c r="G516" t="b">
        <v>1</v>
      </c>
      <c r="H516">
        <f>(Table1[[#This Row],[price]]*Table1[[#This Row],[units_sold]])</f>
        <v>196609.1</v>
      </c>
      <c r="I516" t="str">
        <f>IF(Table1[[#This Row],[in_stock]]=TRUE,"Available","Out of stock")</f>
        <v>Available</v>
      </c>
      <c r="J516" t="str">
        <f>IF(Table1[[#This Row],[rating]]&gt;=4,"High",IF(Table1[[#This Row],[rating]]&gt;=2.5,"Medium","Low"))</f>
        <v>High</v>
      </c>
      <c r="K516" t="str">
        <f>IF(Table1[[#This Row],[price]]&lt;200,"Budget",IF(Table1[[#This Row],[price]]&lt;600,"Mid-Range",IF(Table1[[#This Row],[price]]&lt;1000,"Premium","Luxury")))</f>
        <v>Luxury</v>
      </c>
      <c r="L516" t="str">
        <f>IF(Table1[[#This Row],[units_sold]]&lt;50,"Very Low",IF(Table1[[#This Row],[units_sold]]&lt;150,"Low",IF(Table1[[#This Row],[units_sold]]&lt;300,"Medium","High")))</f>
        <v>Medium</v>
      </c>
      <c r="M516" t="str">
        <f t="shared" si="17"/>
        <v>Normal</v>
      </c>
      <c r="N516">
        <f>(Table1[[#This Row],[price]]*0.7)</f>
        <v>824.1099999999999</v>
      </c>
    </row>
    <row r="517" spans="1:14" x14ac:dyDescent="0.35">
      <c r="A517" t="str">
        <f t="shared" si="16"/>
        <v>P516</v>
      </c>
      <c r="B517" t="s">
        <v>10</v>
      </c>
      <c r="C517" t="s">
        <v>9</v>
      </c>
      <c r="D517">
        <v>922.26</v>
      </c>
      <c r="E517">
        <v>86</v>
      </c>
      <c r="F517">
        <v>3.9</v>
      </c>
      <c r="G517" t="b">
        <v>1</v>
      </c>
      <c r="H517">
        <f>(Table1[[#This Row],[price]]*Table1[[#This Row],[units_sold]])</f>
        <v>79314.36</v>
      </c>
      <c r="I517" t="str">
        <f>IF(Table1[[#This Row],[in_stock]]=TRUE,"Available","Out of stock")</f>
        <v>Available</v>
      </c>
      <c r="J517" t="str">
        <f>IF(Table1[[#This Row],[rating]]&gt;=4,"High",IF(Table1[[#This Row],[rating]]&gt;=2.5,"Medium","Low"))</f>
        <v>Medium</v>
      </c>
      <c r="K517" t="str">
        <f>IF(Table1[[#This Row],[price]]&lt;200,"Budget",IF(Table1[[#This Row],[price]]&lt;600,"Mid-Range",IF(Table1[[#This Row],[price]]&lt;1000,"Premium","Luxury")))</f>
        <v>Premium</v>
      </c>
      <c r="L517" t="str">
        <f>IF(Table1[[#This Row],[units_sold]]&lt;50,"Very Low",IF(Table1[[#This Row],[units_sold]]&lt;150,"Low",IF(Table1[[#This Row],[units_sold]]&lt;300,"Medium","High")))</f>
        <v>Low</v>
      </c>
      <c r="M517" t="str">
        <f t="shared" si="17"/>
        <v>Normal</v>
      </c>
      <c r="N517">
        <f>(Table1[[#This Row],[price]]*0.7)</f>
        <v>645.58199999999999</v>
      </c>
    </row>
    <row r="518" spans="1:14" x14ac:dyDescent="0.35">
      <c r="A518" t="str">
        <f t="shared" si="16"/>
        <v>P517</v>
      </c>
      <c r="B518" t="s">
        <v>12</v>
      </c>
      <c r="C518" t="s">
        <v>7</v>
      </c>
      <c r="D518">
        <v>731.75</v>
      </c>
      <c r="E518">
        <v>76</v>
      </c>
      <c r="F518">
        <v>1.4</v>
      </c>
      <c r="G518" t="b">
        <v>1</v>
      </c>
      <c r="H518">
        <f>(Table1[[#This Row],[price]]*Table1[[#This Row],[units_sold]])</f>
        <v>55613</v>
      </c>
      <c r="I518" t="str">
        <f>IF(Table1[[#This Row],[in_stock]]=TRUE,"Available","Out of stock")</f>
        <v>Available</v>
      </c>
      <c r="J518" t="str">
        <f>IF(Table1[[#This Row],[rating]]&gt;=4,"High",IF(Table1[[#This Row],[rating]]&gt;=2.5,"Medium","Low"))</f>
        <v>Low</v>
      </c>
      <c r="K518" t="str">
        <f>IF(Table1[[#This Row],[price]]&lt;200,"Budget",IF(Table1[[#This Row],[price]]&lt;600,"Mid-Range",IF(Table1[[#This Row],[price]]&lt;1000,"Premium","Luxury")))</f>
        <v>Premium</v>
      </c>
      <c r="L518" t="str">
        <f>IF(Table1[[#This Row],[units_sold]]&lt;50,"Very Low",IF(Table1[[#This Row],[units_sold]]&lt;150,"Low",IF(Table1[[#This Row],[units_sold]]&lt;300,"Medium","High")))</f>
        <v>Low</v>
      </c>
      <c r="M518" t="str">
        <f t="shared" si="17"/>
        <v>Normal</v>
      </c>
      <c r="N518">
        <f>(Table1[[#This Row],[price]]*0.7)</f>
        <v>512.22500000000002</v>
      </c>
    </row>
    <row r="519" spans="1:14" x14ac:dyDescent="0.35">
      <c r="A519" t="str">
        <f t="shared" si="16"/>
        <v>P518</v>
      </c>
      <c r="B519" t="s">
        <v>12</v>
      </c>
      <c r="C519" t="s">
        <v>7</v>
      </c>
      <c r="D519">
        <v>994.62</v>
      </c>
      <c r="E519">
        <v>344</v>
      </c>
      <c r="F519">
        <v>2.7</v>
      </c>
      <c r="G519" t="b">
        <v>0</v>
      </c>
      <c r="H519">
        <f>(Table1[[#This Row],[price]]*Table1[[#This Row],[units_sold]])</f>
        <v>342149.28</v>
      </c>
      <c r="I519" t="str">
        <f>IF(Table1[[#This Row],[in_stock]]=TRUE,"Available","Out of stock")</f>
        <v>Out of stock</v>
      </c>
      <c r="J519" t="str">
        <f>IF(Table1[[#This Row],[rating]]&gt;=4,"High",IF(Table1[[#This Row],[rating]]&gt;=2.5,"Medium","Low"))</f>
        <v>Medium</v>
      </c>
      <c r="K519" t="str">
        <f>IF(Table1[[#This Row],[price]]&lt;200,"Budget",IF(Table1[[#This Row],[price]]&lt;600,"Mid-Range",IF(Table1[[#This Row],[price]]&lt;1000,"Premium","Luxury")))</f>
        <v>Premium</v>
      </c>
      <c r="L519" t="str">
        <f>IF(Table1[[#This Row],[units_sold]]&lt;50,"Very Low",IF(Table1[[#This Row],[units_sold]]&lt;150,"Low",IF(Table1[[#This Row],[units_sold]]&lt;300,"Medium","High")))</f>
        <v>High</v>
      </c>
      <c r="M519" t="str">
        <f t="shared" si="17"/>
        <v>High Demand - Out of Stock</v>
      </c>
      <c r="N519">
        <f>(Table1[[#This Row],[price]]*0.7)</f>
        <v>696.23399999999992</v>
      </c>
    </row>
    <row r="520" spans="1:14" x14ac:dyDescent="0.35">
      <c r="A520" t="str">
        <f t="shared" si="16"/>
        <v>P519</v>
      </c>
      <c r="B520" t="s">
        <v>13</v>
      </c>
      <c r="C520" t="s">
        <v>9</v>
      </c>
      <c r="D520">
        <v>833.97</v>
      </c>
      <c r="E520">
        <v>495</v>
      </c>
      <c r="F520">
        <v>1.1000000000000001</v>
      </c>
      <c r="G520" t="b">
        <v>1</v>
      </c>
      <c r="H520">
        <f>(Table1[[#This Row],[price]]*Table1[[#This Row],[units_sold]])</f>
        <v>412815.15</v>
      </c>
      <c r="I520" t="str">
        <f>IF(Table1[[#This Row],[in_stock]]=TRUE,"Available","Out of stock")</f>
        <v>Available</v>
      </c>
      <c r="J520" t="str">
        <f>IF(Table1[[#This Row],[rating]]&gt;=4,"High",IF(Table1[[#This Row],[rating]]&gt;=2.5,"Medium","Low"))</f>
        <v>Low</v>
      </c>
      <c r="K520" t="str">
        <f>IF(Table1[[#This Row],[price]]&lt;200,"Budget",IF(Table1[[#This Row],[price]]&lt;600,"Mid-Range",IF(Table1[[#This Row],[price]]&lt;1000,"Premium","Luxury")))</f>
        <v>Premium</v>
      </c>
      <c r="L520" t="str">
        <f>IF(Table1[[#This Row],[units_sold]]&lt;50,"Very Low",IF(Table1[[#This Row],[units_sold]]&lt;150,"Low",IF(Table1[[#This Row],[units_sold]]&lt;300,"Medium","High")))</f>
        <v>High</v>
      </c>
      <c r="M520" t="str">
        <f t="shared" si="17"/>
        <v>Normal</v>
      </c>
      <c r="N520">
        <f>(Table1[[#This Row],[price]]*0.7)</f>
        <v>583.779</v>
      </c>
    </row>
    <row r="521" spans="1:14" x14ac:dyDescent="0.35">
      <c r="A521" t="str">
        <f t="shared" si="16"/>
        <v>P520</v>
      </c>
      <c r="B521" t="s">
        <v>8</v>
      </c>
      <c r="C521" t="s">
        <v>9</v>
      </c>
      <c r="D521">
        <v>900.24</v>
      </c>
      <c r="E521">
        <v>424</v>
      </c>
      <c r="F521">
        <v>2.9</v>
      </c>
      <c r="G521" t="b">
        <v>1</v>
      </c>
      <c r="H521">
        <f>(Table1[[#This Row],[price]]*Table1[[#This Row],[units_sold]])</f>
        <v>381701.76</v>
      </c>
      <c r="I521" t="str">
        <f>IF(Table1[[#This Row],[in_stock]]=TRUE,"Available","Out of stock")</f>
        <v>Available</v>
      </c>
      <c r="J521" t="str">
        <f>IF(Table1[[#This Row],[rating]]&gt;=4,"High",IF(Table1[[#This Row],[rating]]&gt;=2.5,"Medium","Low"))</f>
        <v>Medium</v>
      </c>
      <c r="K521" t="str">
        <f>IF(Table1[[#This Row],[price]]&lt;200,"Budget",IF(Table1[[#This Row],[price]]&lt;600,"Mid-Range",IF(Table1[[#This Row],[price]]&lt;1000,"Premium","Luxury")))</f>
        <v>Premium</v>
      </c>
      <c r="L521" t="str">
        <f>IF(Table1[[#This Row],[units_sold]]&lt;50,"Very Low",IF(Table1[[#This Row],[units_sold]]&lt;150,"Low",IF(Table1[[#This Row],[units_sold]]&lt;300,"Medium","High")))</f>
        <v>High</v>
      </c>
      <c r="M521" t="str">
        <f t="shared" si="17"/>
        <v>Normal</v>
      </c>
      <c r="N521">
        <f>(Table1[[#This Row],[price]]*0.7)</f>
        <v>630.16800000000001</v>
      </c>
    </row>
    <row r="522" spans="1:14" x14ac:dyDescent="0.35">
      <c r="A522" t="str">
        <f t="shared" si="16"/>
        <v>P521</v>
      </c>
      <c r="B522" t="s">
        <v>17</v>
      </c>
      <c r="C522" t="s">
        <v>7</v>
      </c>
      <c r="D522">
        <v>1177.9100000000001</v>
      </c>
      <c r="E522">
        <v>294</v>
      </c>
      <c r="F522">
        <v>3.6</v>
      </c>
      <c r="G522" t="b">
        <v>0</v>
      </c>
      <c r="H522">
        <f>(Table1[[#This Row],[price]]*Table1[[#This Row],[units_sold]])</f>
        <v>346305.54000000004</v>
      </c>
      <c r="I522" t="str">
        <f>IF(Table1[[#This Row],[in_stock]]=TRUE,"Available","Out of stock")</f>
        <v>Out of stock</v>
      </c>
      <c r="J522" t="str">
        <f>IF(Table1[[#This Row],[rating]]&gt;=4,"High",IF(Table1[[#This Row],[rating]]&gt;=2.5,"Medium","Low"))</f>
        <v>Medium</v>
      </c>
      <c r="K522" t="str">
        <f>IF(Table1[[#This Row],[price]]&lt;200,"Budget",IF(Table1[[#This Row],[price]]&lt;600,"Mid-Range",IF(Table1[[#This Row],[price]]&lt;1000,"Premium","Luxury")))</f>
        <v>Luxury</v>
      </c>
      <c r="L522" t="str">
        <f>IF(Table1[[#This Row],[units_sold]]&lt;50,"Very Low",IF(Table1[[#This Row],[units_sold]]&lt;150,"Low",IF(Table1[[#This Row],[units_sold]]&lt;300,"Medium","High")))</f>
        <v>Medium</v>
      </c>
      <c r="M522" t="str">
        <f t="shared" si="17"/>
        <v>Normal</v>
      </c>
      <c r="N522">
        <f>(Table1[[#This Row],[price]]*0.7)</f>
        <v>824.53700000000003</v>
      </c>
    </row>
    <row r="523" spans="1:14" x14ac:dyDescent="0.35">
      <c r="A523" t="str">
        <f t="shared" si="16"/>
        <v>P522</v>
      </c>
      <c r="B523" t="s">
        <v>12</v>
      </c>
      <c r="C523" t="s">
        <v>7</v>
      </c>
      <c r="D523">
        <v>726.55</v>
      </c>
      <c r="E523">
        <v>444</v>
      </c>
      <c r="F523">
        <v>1.5</v>
      </c>
      <c r="G523" t="b">
        <v>0</v>
      </c>
      <c r="H523">
        <f>(Table1[[#This Row],[price]]*Table1[[#This Row],[units_sold]])</f>
        <v>322588.19999999995</v>
      </c>
      <c r="I523" t="str">
        <f>IF(Table1[[#This Row],[in_stock]]=TRUE,"Available","Out of stock")</f>
        <v>Out of stock</v>
      </c>
      <c r="J523" t="str">
        <f>IF(Table1[[#This Row],[rating]]&gt;=4,"High",IF(Table1[[#This Row],[rating]]&gt;=2.5,"Medium","Low"))</f>
        <v>Low</v>
      </c>
      <c r="K523" t="str">
        <f>IF(Table1[[#This Row],[price]]&lt;200,"Budget",IF(Table1[[#This Row],[price]]&lt;600,"Mid-Range",IF(Table1[[#This Row],[price]]&lt;1000,"Premium","Luxury")))</f>
        <v>Premium</v>
      </c>
      <c r="L523" t="str">
        <f>IF(Table1[[#This Row],[units_sold]]&lt;50,"Very Low",IF(Table1[[#This Row],[units_sold]]&lt;150,"Low",IF(Table1[[#This Row],[units_sold]]&lt;300,"Medium","High")))</f>
        <v>High</v>
      </c>
      <c r="M523" t="str">
        <f t="shared" si="17"/>
        <v>High Demand - Out of Stock</v>
      </c>
      <c r="N523">
        <f>(Table1[[#This Row],[price]]*0.7)</f>
        <v>508.58499999999992</v>
      </c>
    </row>
    <row r="524" spans="1:14" x14ac:dyDescent="0.35">
      <c r="A524" t="str">
        <f t="shared" si="16"/>
        <v>P523</v>
      </c>
      <c r="B524" t="s">
        <v>17</v>
      </c>
      <c r="C524" t="s">
        <v>7</v>
      </c>
      <c r="D524">
        <v>70.72</v>
      </c>
      <c r="E524">
        <v>59</v>
      </c>
      <c r="F524">
        <v>2.2000000000000002</v>
      </c>
      <c r="G524" t="b">
        <v>1</v>
      </c>
      <c r="H524">
        <f>(Table1[[#This Row],[price]]*Table1[[#This Row],[units_sold]])</f>
        <v>4172.4799999999996</v>
      </c>
      <c r="I524" t="str">
        <f>IF(Table1[[#This Row],[in_stock]]=TRUE,"Available","Out of stock")</f>
        <v>Available</v>
      </c>
      <c r="J524" t="str">
        <f>IF(Table1[[#This Row],[rating]]&gt;=4,"High",IF(Table1[[#This Row],[rating]]&gt;=2.5,"Medium","Low"))</f>
        <v>Low</v>
      </c>
      <c r="K524" t="str">
        <f>IF(Table1[[#This Row],[price]]&lt;200,"Budget",IF(Table1[[#This Row],[price]]&lt;600,"Mid-Range",IF(Table1[[#This Row],[price]]&lt;1000,"Premium","Luxury")))</f>
        <v>Budget</v>
      </c>
      <c r="L524" t="str">
        <f>IF(Table1[[#This Row],[units_sold]]&lt;50,"Very Low",IF(Table1[[#This Row],[units_sold]]&lt;150,"Low",IF(Table1[[#This Row],[units_sold]]&lt;300,"Medium","High")))</f>
        <v>Low</v>
      </c>
      <c r="M524" t="str">
        <f t="shared" si="17"/>
        <v>Normal</v>
      </c>
      <c r="N524">
        <f>(Table1[[#This Row],[price]]*0.7)</f>
        <v>49.503999999999998</v>
      </c>
    </row>
    <row r="525" spans="1:14" x14ac:dyDescent="0.35">
      <c r="A525" t="str">
        <f t="shared" si="16"/>
        <v>P524</v>
      </c>
      <c r="B525" t="s">
        <v>12</v>
      </c>
      <c r="C525" t="s">
        <v>7</v>
      </c>
      <c r="D525">
        <v>254.36</v>
      </c>
      <c r="E525">
        <v>138</v>
      </c>
      <c r="F525">
        <v>2.6</v>
      </c>
      <c r="G525" t="b">
        <v>1</v>
      </c>
      <c r="H525">
        <f>(Table1[[#This Row],[price]]*Table1[[#This Row],[units_sold]])</f>
        <v>35101.68</v>
      </c>
      <c r="I525" t="str">
        <f>IF(Table1[[#This Row],[in_stock]]=TRUE,"Available","Out of stock")</f>
        <v>Available</v>
      </c>
      <c r="J525" t="str">
        <f>IF(Table1[[#This Row],[rating]]&gt;=4,"High",IF(Table1[[#This Row],[rating]]&gt;=2.5,"Medium","Low"))</f>
        <v>Medium</v>
      </c>
      <c r="K525" t="str">
        <f>IF(Table1[[#This Row],[price]]&lt;200,"Budget",IF(Table1[[#This Row],[price]]&lt;600,"Mid-Range",IF(Table1[[#This Row],[price]]&lt;1000,"Premium","Luxury")))</f>
        <v>Mid-Range</v>
      </c>
      <c r="L525" t="str">
        <f>IF(Table1[[#This Row],[units_sold]]&lt;50,"Very Low",IF(Table1[[#This Row],[units_sold]]&lt;150,"Low",IF(Table1[[#This Row],[units_sold]]&lt;300,"Medium","High")))</f>
        <v>Low</v>
      </c>
      <c r="M525" t="str">
        <f t="shared" si="17"/>
        <v>Normal</v>
      </c>
      <c r="N525">
        <f>(Table1[[#This Row],[price]]*0.7)</f>
        <v>178.05199999999999</v>
      </c>
    </row>
    <row r="526" spans="1:14" x14ac:dyDescent="0.35">
      <c r="A526" t="str">
        <f t="shared" si="16"/>
        <v>P525</v>
      </c>
      <c r="B526" t="s">
        <v>14</v>
      </c>
      <c r="C526" t="s">
        <v>9</v>
      </c>
      <c r="D526">
        <v>663.52</v>
      </c>
      <c r="E526">
        <v>99</v>
      </c>
      <c r="F526">
        <v>4.7</v>
      </c>
      <c r="G526" t="b">
        <v>1</v>
      </c>
      <c r="H526">
        <f>(Table1[[#This Row],[price]]*Table1[[#This Row],[units_sold]])</f>
        <v>65688.479999999996</v>
      </c>
      <c r="I526" t="str">
        <f>IF(Table1[[#This Row],[in_stock]]=TRUE,"Available","Out of stock")</f>
        <v>Available</v>
      </c>
      <c r="J526" t="str">
        <f>IF(Table1[[#This Row],[rating]]&gt;=4,"High",IF(Table1[[#This Row],[rating]]&gt;=2.5,"Medium","Low"))</f>
        <v>High</v>
      </c>
      <c r="K526" t="str">
        <f>IF(Table1[[#This Row],[price]]&lt;200,"Budget",IF(Table1[[#This Row],[price]]&lt;600,"Mid-Range",IF(Table1[[#This Row],[price]]&lt;1000,"Premium","Luxury")))</f>
        <v>Premium</v>
      </c>
      <c r="L526" t="str">
        <f>IF(Table1[[#This Row],[units_sold]]&lt;50,"Very Low",IF(Table1[[#This Row],[units_sold]]&lt;150,"Low",IF(Table1[[#This Row],[units_sold]]&lt;300,"Medium","High")))</f>
        <v>Low</v>
      </c>
      <c r="M526" t="str">
        <f t="shared" si="17"/>
        <v>Normal</v>
      </c>
      <c r="N526">
        <f>(Table1[[#This Row],[price]]*0.7)</f>
        <v>464.46399999999994</v>
      </c>
    </row>
    <row r="527" spans="1:14" x14ac:dyDescent="0.35">
      <c r="A527" t="str">
        <f t="shared" si="16"/>
        <v>P526</v>
      </c>
      <c r="B527" t="s">
        <v>8</v>
      </c>
      <c r="C527" t="s">
        <v>9</v>
      </c>
      <c r="D527">
        <v>1089.99</v>
      </c>
      <c r="E527">
        <v>192</v>
      </c>
      <c r="F527">
        <v>5</v>
      </c>
      <c r="G527" t="b">
        <v>0</v>
      </c>
      <c r="H527">
        <f>(Table1[[#This Row],[price]]*Table1[[#This Row],[units_sold]])</f>
        <v>209278.08000000002</v>
      </c>
      <c r="I527" t="str">
        <f>IF(Table1[[#This Row],[in_stock]]=TRUE,"Available","Out of stock")</f>
        <v>Out of stock</v>
      </c>
      <c r="J527" t="str">
        <f>IF(Table1[[#This Row],[rating]]&gt;=4,"High",IF(Table1[[#This Row],[rating]]&gt;=2.5,"Medium","Low"))</f>
        <v>High</v>
      </c>
      <c r="K527" t="str">
        <f>IF(Table1[[#This Row],[price]]&lt;200,"Budget",IF(Table1[[#This Row],[price]]&lt;600,"Mid-Range",IF(Table1[[#This Row],[price]]&lt;1000,"Premium","Luxury")))</f>
        <v>Luxury</v>
      </c>
      <c r="L527" t="str">
        <f>IF(Table1[[#This Row],[units_sold]]&lt;50,"Very Low",IF(Table1[[#This Row],[units_sold]]&lt;150,"Low",IF(Table1[[#This Row],[units_sold]]&lt;300,"Medium","High")))</f>
        <v>Medium</v>
      </c>
      <c r="M527" t="str">
        <f t="shared" si="17"/>
        <v>Normal</v>
      </c>
      <c r="N527">
        <f>(Table1[[#This Row],[price]]*0.7)</f>
        <v>762.99299999999994</v>
      </c>
    </row>
    <row r="528" spans="1:14" x14ac:dyDescent="0.35">
      <c r="A528" t="str">
        <f t="shared" si="16"/>
        <v>P527</v>
      </c>
      <c r="B528" t="s">
        <v>14</v>
      </c>
      <c r="C528" t="s">
        <v>9</v>
      </c>
      <c r="D528">
        <v>893.99</v>
      </c>
      <c r="E528">
        <v>243</v>
      </c>
      <c r="F528">
        <v>1.2</v>
      </c>
      <c r="G528" t="b">
        <v>1</v>
      </c>
      <c r="H528">
        <f>(Table1[[#This Row],[price]]*Table1[[#This Row],[units_sold]])</f>
        <v>217239.57</v>
      </c>
      <c r="I528" t="str">
        <f>IF(Table1[[#This Row],[in_stock]]=TRUE,"Available","Out of stock")</f>
        <v>Available</v>
      </c>
      <c r="J528" t="str">
        <f>IF(Table1[[#This Row],[rating]]&gt;=4,"High",IF(Table1[[#This Row],[rating]]&gt;=2.5,"Medium","Low"))</f>
        <v>Low</v>
      </c>
      <c r="K528" t="str">
        <f>IF(Table1[[#This Row],[price]]&lt;200,"Budget",IF(Table1[[#This Row],[price]]&lt;600,"Mid-Range",IF(Table1[[#This Row],[price]]&lt;1000,"Premium","Luxury")))</f>
        <v>Premium</v>
      </c>
      <c r="L528" t="str">
        <f>IF(Table1[[#This Row],[units_sold]]&lt;50,"Very Low",IF(Table1[[#This Row],[units_sold]]&lt;150,"Low",IF(Table1[[#This Row],[units_sold]]&lt;300,"Medium","High")))</f>
        <v>Medium</v>
      </c>
      <c r="M528" t="str">
        <f t="shared" si="17"/>
        <v>Normal</v>
      </c>
      <c r="N528">
        <f>(Table1[[#This Row],[price]]*0.7)</f>
        <v>625.79300000000001</v>
      </c>
    </row>
    <row r="529" spans="1:14" x14ac:dyDescent="0.35">
      <c r="A529" t="str">
        <f t="shared" si="16"/>
        <v>P528</v>
      </c>
      <c r="B529" t="s">
        <v>12</v>
      </c>
      <c r="C529" t="s">
        <v>7</v>
      </c>
      <c r="D529">
        <v>978.94</v>
      </c>
      <c r="E529">
        <v>319</v>
      </c>
      <c r="F529">
        <v>4</v>
      </c>
      <c r="G529" t="b">
        <v>0</v>
      </c>
      <c r="H529">
        <f>(Table1[[#This Row],[price]]*Table1[[#This Row],[units_sold]])</f>
        <v>312281.86000000004</v>
      </c>
      <c r="I529" t="str">
        <f>IF(Table1[[#This Row],[in_stock]]=TRUE,"Available","Out of stock")</f>
        <v>Out of stock</v>
      </c>
      <c r="J529" t="str">
        <f>IF(Table1[[#This Row],[rating]]&gt;=4,"High",IF(Table1[[#This Row],[rating]]&gt;=2.5,"Medium","Low"))</f>
        <v>High</v>
      </c>
      <c r="K529" t="str">
        <f>IF(Table1[[#This Row],[price]]&lt;200,"Budget",IF(Table1[[#This Row],[price]]&lt;600,"Mid-Range",IF(Table1[[#This Row],[price]]&lt;1000,"Premium","Luxury")))</f>
        <v>Premium</v>
      </c>
      <c r="L529" t="str">
        <f>IF(Table1[[#This Row],[units_sold]]&lt;50,"Very Low",IF(Table1[[#This Row],[units_sold]]&lt;150,"Low",IF(Table1[[#This Row],[units_sold]]&lt;300,"Medium","High")))</f>
        <v>High</v>
      </c>
      <c r="M529" t="str">
        <f t="shared" si="17"/>
        <v>High Demand - Out of Stock</v>
      </c>
      <c r="N529">
        <f>(Table1[[#This Row],[price]]*0.7)</f>
        <v>685.25800000000004</v>
      </c>
    </row>
    <row r="530" spans="1:14" x14ac:dyDescent="0.35">
      <c r="A530" t="str">
        <f t="shared" si="16"/>
        <v>P529</v>
      </c>
      <c r="B530" t="s">
        <v>10</v>
      </c>
      <c r="C530" t="s">
        <v>9</v>
      </c>
      <c r="D530">
        <v>724.13</v>
      </c>
      <c r="E530">
        <v>49</v>
      </c>
      <c r="F530">
        <v>2.5</v>
      </c>
      <c r="G530" t="b">
        <v>1</v>
      </c>
      <c r="H530">
        <f>(Table1[[#This Row],[price]]*Table1[[#This Row],[units_sold]])</f>
        <v>35482.370000000003</v>
      </c>
      <c r="I530" t="str">
        <f>IF(Table1[[#This Row],[in_stock]]=TRUE,"Available","Out of stock")</f>
        <v>Available</v>
      </c>
      <c r="J530" t="str">
        <f>IF(Table1[[#This Row],[rating]]&gt;=4,"High",IF(Table1[[#This Row],[rating]]&gt;=2.5,"Medium","Low"))</f>
        <v>Medium</v>
      </c>
      <c r="K530" t="str">
        <f>IF(Table1[[#This Row],[price]]&lt;200,"Budget",IF(Table1[[#This Row],[price]]&lt;600,"Mid-Range",IF(Table1[[#This Row],[price]]&lt;1000,"Premium","Luxury")))</f>
        <v>Premium</v>
      </c>
      <c r="L530" t="str">
        <f>IF(Table1[[#This Row],[units_sold]]&lt;50,"Very Low",IF(Table1[[#This Row],[units_sold]]&lt;150,"Low",IF(Table1[[#This Row],[units_sold]]&lt;300,"Medium","High")))</f>
        <v>Very Low</v>
      </c>
      <c r="M530" t="str">
        <f t="shared" si="17"/>
        <v>Normal</v>
      </c>
      <c r="N530">
        <f>(Table1[[#This Row],[price]]*0.7)</f>
        <v>506.89099999999996</v>
      </c>
    </row>
    <row r="531" spans="1:14" x14ac:dyDescent="0.35">
      <c r="A531" t="str">
        <f t="shared" si="16"/>
        <v>P530</v>
      </c>
      <c r="B531" t="s">
        <v>10</v>
      </c>
      <c r="C531" t="s">
        <v>9</v>
      </c>
      <c r="D531">
        <v>927.46</v>
      </c>
      <c r="E531">
        <v>448</v>
      </c>
      <c r="F531">
        <v>2.6</v>
      </c>
      <c r="G531" t="b">
        <v>1</v>
      </c>
      <c r="H531">
        <f>(Table1[[#This Row],[price]]*Table1[[#This Row],[units_sold]])</f>
        <v>415502.08000000002</v>
      </c>
      <c r="I531" t="str">
        <f>IF(Table1[[#This Row],[in_stock]]=TRUE,"Available","Out of stock")</f>
        <v>Available</v>
      </c>
      <c r="J531" t="str">
        <f>IF(Table1[[#This Row],[rating]]&gt;=4,"High",IF(Table1[[#This Row],[rating]]&gt;=2.5,"Medium","Low"))</f>
        <v>Medium</v>
      </c>
      <c r="K531" t="str">
        <f>IF(Table1[[#This Row],[price]]&lt;200,"Budget",IF(Table1[[#This Row],[price]]&lt;600,"Mid-Range",IF(Table1[[#This Row],[price]]&lt;1000,"Premium","Luxury")))</f>
        <v>Premium</v>
      </c>
      <c r="L531" t="str">
        <f>IF(Table1[[#This Row],[units_sold]]&lt;50,"Very Low",IF(Table1[[#This Row],[units_sold]]&lt;150,"Low",IF(Table1[[#This Row],[units_sold]]&lt;300,"Medium","High")))</f>
        <v>High</v>
      </c>
      <c r="M531" t="str">
        <f t="shared" si="17"/>
        <v>Normal</v>
      </c>
      <c r="N531">
        <f>(Table1[[#This Row],[price]]*0.7)</f>
        <v>649.22199999999998</v>
      </c>
    </row>
    <row r="532" spans="1:14" x14ac:dyDescent="0.35">
      <c r="A532" t="str">
        <f t="shared" si="16"/>
        <v>P531</v>
      </c>
      <c r="B532" t="s">
        <v>14</v>
      </c>
      <c r="C532" t="s">
        <v>9</v>
      </c>
      <c r="D532">
        <v>500.24</v>
      </c>
      <c r="E532">
        <v>32</v>
      </c>
      <c r="F532">
        <v>4</v>
      </c>
      <c r="G532" t="b">
        <v>1</v>
      </c>
      <c r="H532">
        <f>(Table1[[#This Row],[price]]*Table1[[#This Row],[units_sold]])</f>
        <v>16007.68</v>
      </c>
      <c r="I532" t="str">
        <f>IF(Table1[[#This Row],[in_stock]]=TRUE,"Available","Out of stock")</f>
        <v>Available</v>
      </c>
      <c r="J532" t="str">
        <f>IF(Table1[[#This Row],[rating]]&gt;=4,"High",IF(Table1[[#This Row],[rating]]&gt;=2.5,"Medium","Low"))</f>
        <v>High</v>
      </c>
      <c r="K532" t="str">
        <f>IF(Table1[[#This Row],[price]]&lt;200,"Budget",IF(Table1[[#This Row],[price]]&lt;600,"Mid-Range",IF(Table1[[#This Row],[price]]&lt;1000,"Premium","Luxury")))</f>
        <v>Mid-Range</v>
      </c>
      <c r="L532" t="str">
        <f>IF(Table1[[#This Row],[units_sold]]&lt;50,"Very Low",IF(Table1[[#This Row],[units_sold]]&lt;150,"Low",IF(Table1[[#This Row],[units_sold]]&lt;300,"Medium","High")))</f>
        <v>Very Low</v>
      </c>
      <c r="M532" t="str">
        <f t="shared" si="17"/>
        <v>Normal</v>
      </c>
      <c r="N532">
        <f>(Table1[[#This Row],[price]]*0.7)</f>
        <v>350.16800000000001</v>
      </c>
    </row>
    <row r="533" spans="1:14" x14ac:dyDescent="0.35">
      <c r="A533" t="str">
        <f t="shared" si="16"/>
        <v>P532</v>
      </c>
      <c r="B533" t="s">
        <v>10</v>
      </c>
      <c r="C533" t="s">
        <v>9</v>
      </c>
      <c r="D533">
        <v>710.57</v>
      </c>
      <c r="E533">
        <v>391</v>
      </c>
      <c r="F533">
        <v>4.7</v>
      </c>
      <c r="G533" t="b">
        <v>1</v>
      </c>
      <c r="H533">
        <f>(Table1[[#This Row],[price]]*Table1[[#This Row],[units_sold]])</f>
        <v>277832.87</v>
      </c>
      <c r="I533" t="str">
        <f>IF(Table1[[#This Row],[in_stock]]=TRUE,"Available","Out of stock")</f>
        <v>Available</v>
      </c>
      <c r="J533" t="str">
        <f>IF(Table1[[#This Row],[rating]]&gt;=4,"High",IF(Table1[[#This Row],[rating]]&gt;=2.5,"Medium","Low"))</f>
        <v>High</v>
      </c>
      <c r="K533" t="str">
        <f>IF(Table1[[#This Row],[price]]&lt;200,"Budget",IF(Table1[[#This Row],[price]]&lt;600,"Mid-Range",IF(Table1[[#This Row],[price]]&lt;1000,"Premium","Luxury")))</f>
        <v>Premium</v>
      </c>
      <c r="L533" t="str">
        <f>IF(Table1[[#This Row],[units_sold]]&lt;50,"Very Low",IF(Table1[[#This Row],[units_sold]]&lt;150,"Low",IF(Table1[[#This Row],[units_sold]]&lt;300,"Medium","High")))</f>
        <v>High</v>
      </c>
      <c r="M533" t="str">
        <f t="shared" si="17"/>
        <v>Normal</v>
      </c>
      <c r="N533">
        <f>(Table1[[#This Row],[price]]*0.7)</f>
        <v>497.399</v>
      </c>
    </row>
    <row r="534" spans="1:14" x14ac:dyDescent="0.35">
      <c r="A534" t="str">
        <f t="shared" si="16"/>
        <v>P533</v>
      </c>
      <c r="B534" t="s">
        <v>12</v>
      </c>
      <c r="C534" t="s">
        <v>7</v>
      </c>
      <c r="D534">
        <v>1118.98</v>
      </c>
      <c r="E534">
        <v>277</v>
      </c>
      <c r="F534">
        <v>4.8</v>
      </c>
      <c r="G534" t="b">
        <v>1</v>
      </c>
      <c r="H534">
        <f>(Table1[[#This Row],[price]]*Table1[[#This Row],[units_sold]])</f>
        <v>309957.46000000002</v>
      </c>
      <c r="I534" t="str">
        <f>IF(Table1[[#This Row],[in_stock]]=TRUE,"Available","Out of stock")</f>
        <v>Available</v>
      </c>
      <c r="J534" t="str">
        <f>IF(Table1[[#This Row],[rating]]&gt;=4,"High",IF(Table1[[#This Row],[rating]]&gt;=2.5,"Medium","Low"))</f>
        <v>High</v>
      </c>
      <c r="K534" t="str">
        <f>IF(Table1[[#This Row],[price]]&lt;200,"Budget",IF(Table1[[#This Row],[price]]&lt;600,"Mid-Range",IF(Table1[[#This Row],[price]]&lt;1000,"Premium","Luxury")))</f>
        <v>Luxury</v>
      </c>
      <c r="L534" t="str">
        <f>IF(Table1[[#This Row],[units_sold]]&lt;50,"Very Low",IF(Table1[[#This Row],[units_sold]]&lt;150,"Low",IF(Table1[[#This Row],[units_sold]]&lt;300,"Medium","High")))</f>
        <v>Medium</v>
      </c>
      <c r="M534" t="str">
        <f t="shared" si="17"/>
        <v>Normal</v>
      </c>
      <c r="N534">
        <f>(Table1[[#This Row],[price]]*0.7)</f>
        <v>783.28599999999994</v>
      </c>
    </row>
    <row r="535" spans="1:14" x14ac:dyDescent="0.35">
      <c r="A535" t="str">
        <f t="shared" si="16"/>
        <v>P534</v>
      </c>
      <c r="B535" t="s">
        <v>13</v>
      </c>
      <c r="C535" t="s">
        <v>9</v>
      </c>
      <c r="D535">
        <v>1309.03</v>
      </c>
      <c r="E535">
        <v>20</v>
      </c>
      <c r="F535">
        <v>3.3</v>
      </c>
      <c r="G535" t="b">
        <v>1</v>
      </c>
      <c r="H535">
        <f>(Table1[[#This Row],[price]]*Table1[[#This Row],[units_sold]])</f>
        <v>26180.6</v>
      </c>
      <c r="I535" t="str">
        <f>IF(Table1[[#This Row],[in_stock]]=TRUE,"Available","Out of stock")</f>
        <v>Available</v>
      </c>
      <c r="J535" t="str">
        <f>IF(Table1[[#This Row],[rating]]&gt;=4,"High",IF(Table1[[#This Row],[rating]]&gt;=2.5,"Medium","Low"))</f>
        <v>Medium</v>
      </c>
      <c r="K535" t="str">
        <f>IF(Table1[[#This Row],[price]]&lt;200,"Budget",IF(Table1[[#This Row],[price]]&lt;600,"Mid-Range",IF(Table1[[#This Row],[price]]&lt;1000,"Premium","Luxury")))</f>
        <v>Luxury</v>
      </c>
      <c r="L535" t="str">
        <f>IF(Table1[[#This Row],[units_sold]]&lt;50,"Very Low",IF(Table1[[#This Row],[units_sold]]&lt;150,"Low",IF(Table1[[#This Row],[units_sold]]&lt;300,"Medium","High")))</f>
        <v>Very Low</v>
      </c>
      <c r="M535" t="str">
        <f t="shared" si="17"/>
        <v>Normal</v>
      </c>
      <c r="N535">
        <f>(Table1[[#This Row],[price]]*0.7)</f>
        <v>916.32099999999991</v>
      </c>
    </row>
    <row r="536" spans="1:14" x14ac:dyDescent="0.35">
      <c r="A536" t="str">
        <f t="shared" si="16"/>
        <v>P535</v>
      </c>
      <c r="B536" t="s">
        <v>14</v>
      </c>
      <c r="C536" t="s">
        <v>9</v>
      </c>
      <c r="D536">
        <v>656.15</v>
      </c>
      <c r="E536">
        <v>154</v>
      </c>
      <c r="F536">
        <v>2.4</v>
      </c>
      <c r="G536" t="b">
        <v>1</v>
      </c>
      <c r="H536">
        <f>(Table1[[#This Row],[price]]*Table1[[#This Row],[units_sold]])</f>
        <v>101047.09999999999</v>
      </c>
      <c r="I536" t="str">
        <f>IF(Table1[[#This Row],[in_stock]]=TRUE,"Available","Out of stock")</f>
        <v>Available</v>
      </c>
      <c r="J536" t="str">
        <f>IF(Table1[[#This Row],[rating]]&gt;=4,"High",IF(Table1[[#This Row],[rating]]&gt;=2.5,"Medium","Low"))</f>
        <v>Low</v>
      </c>
      <c r="K536" t="str">
        <f>IF(Table1[[#This Row],[price]]&lt;200,"Budget",IF(Table1[[#This Row],[price]]&lt;600,"Mid-Range",IF(Table1[[#This Row],[price]]&lt;1000,"Premium","Luxury")))</f>
        <v>Premium</v>
      </c>
      <c r="L536" t="str">
        <f>IF(Table1[[#This Row],[units_sold]]&lt;50,"Very Low",IF(Table1[[#This Row],[units_sold]]&lt;150,"Low",IF(Table1[[#This Row],[units_sold]]&lt;300,"Medium","High")))</f>
        <v>Medium</v>
      </c>
      <c r="M536" t="str">
        <f t="shared" si="17"/>
        <v>Normal</v>
      </c>
      <c r="N536">
        <f>(Table1[[#This Row],[price]]*0.7)</f>
        <v>459.30499999999995</v>
      </c>
    </row>
    <row r="537" spans="1:14" x14ac:dyDescent="0.35">
      <c r="A537" t="str">
        <f t="shared" si="16"/>
        <v>P536</v>
      </c>
      <c r="B537" t="s">
        <v>11</v>
      </c>
      <c r="C537" t="s">
        <v>9</v>
      </c>
      <c r="D537">
        <v>75.06</v>
      </c>
      <c r="E537">
        <v>383</v>
      </c>
      <c r="F537">
        <v>4.2</v>
      </c>
      <c r="G537" t="b">
        <v>0</v>
      </c>
      <c r="H537">
        <f>(Table1[[#This Row],[price]]*Table1[[#This Row],[units_sold]])</f>
        <v>28747.98</v>
      </c>
      <c r="I537" t="str">
        <f>IF(Table1[[#This Row],[in_stock]]=TRUE,"Available","Out of stock")</f>
        <v>Out of stock</v>
      </c>
      <c r="J537" t="str">
        <f>IF(Table1[[#This Row],[rating]]&gt;=4,"High",IF(Table1[[#This Row],[rating]]&gt;=2.5,"Medium","Low"))</f>
        <v>High</v>
      </c>
      <c r="K537" t="str">
        <f>IF(Table1[[#This Row],[price]]&lt;200,"Budget",IF(Table1[[#This Row],[price]]&lt;600,"Mid-Range",IF(Table1[[#This Row],[price]]&lt;1000,"Premium","Luxury")))</f>
        <v>Budget</v>
      </c>
      <c r="L537" t="str">
        <f>IF(Table1[[#This Row],[units_sold]]&lt;50,"Very Low",IF(Table1[[#This Row],[units_sold]]&lt;150,"Low",IF(Table1[[#This Row],[units_sold]]&lt;300,"Medium","High")))</f>
        <v>High</v>
      </c>
      <c r="M537" t="str">
        <f t="shared" si="17"/>
        <v>High Demand - Out of Stock</v>
      </c>
      <c r="N537">
        <f>(Table1[[#This Row],[price]]*0.7)</f>
        <v>52.542000000000002</v>
      </c>
    </row>
    <row r="538" spans="1:14" x14ac:dyDescent="0.35">
      <c r="A538" t="str">
        <f t="shared" si="16"/>
        <v>P537</v>
      </c>
      <c r="B538" t="s">
        <v>8</v>
      </c>
      <c r="C538" t="s">
        <v>9</v>
      </c>
      <c r="D538">
        <v>250.89</v>
      </c>
      <c r="E538">
        <v>68</v>
      </c>
      <c r="F538">
        <v>2</v>
      </c>
      <c r="G538" t="b">
        <v>1</v>
      </c>
      <c r="H538">
        <f>(Table1[[#This Row],[price]]*Table1[[#This Row],[units_sold]])</f>
        <v>17060.52</v>
      </c>
      <c r="I538" t="str">
        <f>IF(Table1[[#This Row],[in_stock]]=TRUE,"Available","Out of stock")</f>
        <v>Available</v>
      </c>
      <c r="J538" t="str">
        <f>IF(Table1[[#This Row],[rating]]&gt;=4,"High",IF(Table1[[#This Row],[rating]]&gt;=2.5,"Medium","Low"))</f>
        <v>Low</v>
      </c>
      <c r="K538" t="str">
        <f>IF(Table1[[#This Row],[price]]&lt;200,"Budget",IF(Table1[[#This Row],[price]]&lt;600,"Mid-Range",IF(Table1[[#This Row],[price]]&lt;1000,"Premium","Luxury")))</f>
        <v>Mid-Range</v>
      </c>
      <c r="L538" t="str">
        <f>IF(Table1[[#This Row],[units_sold]]&lt;50,"Very Low",IF(Table1[[#This Row],[units_sold]]&lt;150,"Low",IF(Table1[[#This Row],[units_sold]]&lt;300,"Medium","High")))</f>
        <v>Low</v>
      </c>
      <c r="M538" t="str">
        <f t="shared" si="17"/>
        <v>Normal</v>
      </c>
      <c r="N538">
        <f>(Table1[[#This Row],[price]]*0.7)</f>
        <v>175.62299999999999</v>
      </c>
    </row>
    <row r="539" spans="1:14" x14ac:dyDescent="0.35">
      <c r="A539" t="str">
        <f t="shared" si="16"/>
        <v>P538</v>
      </c>
      <c r="B539" t="s">
        <v>10</v>
      </c>
      <c r="C539" t="s">
        <v>9</v>
      </c>
      <c r="D539">
        <v>41.08</v>
      </c>
      <c r="E539">
        <v>366</v>
      </c>
      <c r="F539">
        <v>3.3</v>
      </c>
      <c r="G539" t="b">
        <v>1</v>
      </c>
      <c r="H539">
        <f>(Table1[[#This Row],[price]]*Table1[[#This Row],[units_sold]])</f>
        <v>15035.279999999999</v>
      </c>
      <c r="I539" t="str">
        <f>IF(Table1[[#This Row],[in_stock]]=TRUE,"Available","Out of stock")</f>
        <v>Available</v>
      </c>
      <c r="J539" t="str">
        <f>IF(Table1[[#This Row],[rating]]&gt;=4,"High",IF(Table1[[#This Row],[rating]]&gt;=2.5,"Medium","Low"))</f>
        <v>Medium</v>
      </c>
      <c r="K539" t="str">
        <f>IF(Table1[[#This Row],[price]]&lt;200,"Budget",IF(Table1[[#This Row],[price]]&lt;600,"Mid-Range",IF(Table1[[#This Row],[price]]&lt;1000,"Premium","Luxury")))</f>
        <v>Budget</v>
      </c>
      <c r="L539" t="str">
        <f>IF(Table1[[#This Row],[units_sold]]&lt;50,"Very Low",IF(Table1[[#This Row],[units_sold]]&lt;150,"Low",IF(Table1[[#This Row],[units_sold]]&lt;300,"Medium","High")))</f>
        <v>High</v>
      </c>
      <c r="M539" t="str">
        <f t="shared" si="17"/>
        <v>Normal</v>
      </c>
      <c r="N539">
        <f>(Table1[[#This Row],[price]]*0.7)</f>
        <v>28.755999999999997</v>
      </c>
    </row>
    <row r="540" spans="1:14" x14ac:dyDescent="0.35">
      <c r="A540" t="str">
        <f t="shared" si="16"/>
        <v>P539</v>
      </c>
      <c r="B540" t="s">
        <v>10</v>
      </c>
      <c r="C540" t="s">
        <v>9</v>
      </c>
      <c r="D540">
        <v>983.36</v>
      </c>
      <c r="E540">
        <v>372</v>
      </c>
      <c r="F540">
        <v>2.4</v>
      </c>
      <c r="G540" t="b">
        <v>1</v>
      </c>
      <c r="H540">
        <f>(Table1[[#This Row],[price]]*Table1[[#This Row],[units_sold]])</f>
        <v>365809.91999999998</v>
      </c>
      <c r="I540" t="str">
        <f>IF(Table1[[#This Row],[in_stock]]=TRUE,"Available","Out of stock")</f>
        <v>Available</v>
      </c>
      <c r="J540" t="str">
        <f>IF(Table1[[#This Row],[rating]]&gt;=4,"High",IF(Table1[[#This Row],[rating]]&gt;=2.5,"Medium","Low"))</f>
        <v>Low</v>
      </c>
      <c r="K540" t="str">
        <f>IF(Table1[[#This Row],[price]]&lt;200,"Budget",IF(Table1[[#This Row],[price]]&lt;600,"Mid-Range",IF(Table1[[#This Row],[price]]&lt;1000,"Premium","Luxury")))</f>
        <v>Premium</v>
      </c>
      <c r="L540" t="str">
        <f>IF(Table1[[#This Row],[units_sold]]&lt;50,"Very Low",IF(Table1[[#This Row],[units_sold]]&lt;150,"Low",IF(Table1[[#This Row],[units_sold]]&lt;300,"Medium","High")))</f>
        <v>High</v>
      </c>
      <c r="M540" t="str">
        <f t="shared" si="17"/>
        <v>Normal</v>
      </c>
      <c r="N540">
        <f>(Table1[[#This Row],[price]]*0.7)</f>
        <v>688.35199999999998</v>
      </c>
    </row>
    <row r="541" spans="1:14" x14ac:dyDescent="0.35">
      <c r="A541" t="str">
        <f t="shared" si="16"/>
        <v>P540</v>
      </c>
      <c r="B541" t="s">
        <v>16</v>
      </c>
      <c r="C541" t="s">
        <v>9</v>
      </c>
      <c r="D541">
        <v>505.15</v>
      </c>
      <c r="E541">
        <v>214</v>
      </c>
      <c r="F541">
        <v>3.6</v>
      </c>
      <c r="G541" t="b">
        <v>1</v>
      </c>
      <c r="H541">
        <f>(Table1[[#This Row],[price]]*Table1[[#This Row],[units_sold]])</f>
        <v>108102.09999999999</v>
      </c>
      <c r="I541" t="str">
        <f>IF(Table1[[#This Row],[in_stock]]=TRUE,"Available","Out of stock")</f>
        <v>Available</v>
      </c>
      <c r="J541" t="str">
        <f>IF(Table1[[#This Row],[rating]]&gt;=4,"High",IF(Table1[[#This Row],[rating]]&gt;=2.5,"Medium","Low"))</f>
        <v>Medium</v>
      </c>
      <c r="K541" t="str">
        <f>IF(Table1[[#This Row],[price]]&lt;200,"Budget",IF(Table1[[#This Row],[price]]&lt;600,"Mid-Range",IF(Table1[[#This Row],[price]]&lt;1000,"Premium","Luxury")))</f>
        <v>Mid-Range</v>
      </c>
      <c r="L541" t="str">
        <f>IF(Table1[[#This Row],[units_sold]]&lt;50,"Very Low",IF(Table1[[#This Row],[units_sold]]&lt;150,"Low",IF(Table1[[#This Row],[units_sold]]&lt;300,"Medium","High")))</f>
        <v>Medium</v>
      </c>
      <c r="M541" t="str">
        <f t="shared" si="17"/>
        <v>Normal</v>
      </c>
      <c r="N541">
        <f>(Table1[[#This Row],[price]]*0.7)</f>
        <v>353.60499999999996</v>
      </c>
    </row>
    <row r="542" spans="1:14" x14ac:dyDescent="0.35">
      <c r="A542" t="str">
        <f t="shared" si="16"/>
        <v>P541</v>
      </c>
      <c r="B542" t="s">
        <v>15</v>
      </c>
      <c r="C542" t="s">
        <v>7</v>
      </c>
      <c r="D542">
        <v>818.29</v>
      </c>
      <c r="E542">
        <v>143</v>
      </c>
      <c r="F542">
        <v>2</v>
      </c>
      <c r="G542" t="b">
        <v>1</v>
      </c>
      <c r="H542">
        <f>(Table1[[#This Row],[price]]*Table1[[#This Row],[units_sold]])</f>
        <v>117015.47</v>
      </c>
      <c r="I542" t="str">
        <f>IF(Table1[[#This Row],[in_stock]]=TRUE,"Available","Out of stock")</f>
        <v>Available</v>
      </c>
      <c r="J542" t="str">
        <f>IF(Table1[[#This Row],[rating]]&gt;=4,"High",IF(Table1[[#This Row],[rating]]&gt;=2.5,"Medium","Low"))</f>
        <v>Low</v>
      </c>
      <c r="K542" t="str">
        <f>IF(Table1[[#This Row],[price]]&lt;200,"Budget",IF(Table1[[#This Row],[price]]&lt;600,"Mid-Range",IF(Table1[[#This Row],[price]]&lt;1000,"Premium","Luxury")))</f>
        <v>Premium</v>
      </c>
      <c r="L542" t="str">
        <f>IF(Table1[[#This Row],[units_sold]]&lt;50,"Very Low",IF(Table1[[#This Row],[units_sold]]&lt;150,"Low",IF(Table1[[#This Row],[units_sold]]&lt;300,"Medium","High")))</f>
        <v>Low</v>
      </c>
      <c r="M542" t="str">
        <f t="shared" si="17"/>
        <v>Normal</v>
      </c>
      <c r="N542">
        <f>(Table1[[#This Row],[price]]*0.7)</f>
        <v>572.80299999999988</v>
      </c>
    </row>
    <row r="543" spans="1:14" x14ac:dyDescent="0.35">
      <c r="A543" t="str">
        <f t="shared" si="16"/>
        <v>P542</v>
      </c>
      <c r="B543" t="s">
        <v>14</v>
      </c>
      <c r="C543" t="s">
        <v>9</v>
      </c>
      <c r="D543">
        <v>744.98</v>
      </c>
      <c r="E543">
        <v>376</v>
      </c>
      <c r="F543">
        <v>1.8</v>
      </c>
      <c r="G543" t="b">
        <v>1</v>
      </c>
      <c r="H543">
        <f>(Table1[[#This Row],[price]]*Table1[[#This Row],[units_sold]])</f>
        <v>280112.48</v>
      </c>
      <c r="I543" t="str">
        <f>IF(Table1[[#This Row],[in_stock]]=TRUE,"Available","Out of stock")</f>
        <v>Available</v>
      </c>
      <c r="J543" t="str">
        <f>IF(Table1[[#This Row],[rating]]&gt;=4,"High",IF(Table1[[#This Row],[rating]]&gt;=2.5,"Medium","Low"))</f>
        <v>Low</v>
      </c>
      <c r="K543" t="str">
        <f>IF(Table1[[#This Row],[price]]&lt;200,"Budget",IF(Table1[[#This Row],[price]]&lt;600,"Mid-Range",IF(Table1[[#This Row],[price]]&lt;1000,"Premium","Luxury")))</f>
        <v>Premium</v>
      </c>
      <c r="L543" t="str">
        <f>IF(Table1[[#This Row],[units_sold]]&lt;50,"Very Low",IF(Table1[[#This Row],[units_sold]]&lt;150,"Low",IF(Table1[[#This Row],[units_sold]]&lt;300,"Medium","High")))</f>
        <v>High</v>
      </c>
      <c r="M543" t="str">
        <f t="shared" si="17"/>
        <v>Normal</v>
      </c>
      <c r="N543">
        <f>(Table1[[#This Row],[price]]*0.7)</f>
        <v>521.48599999999999</v>
      </c>
    </row>
    <row r="544" spans="1:14" x14ac:dyDescent="0.35">
      <c r="A544" t="str">
        <f t="shared" si="16"/>
        <v>P543</v>
      </c>
      <c r="B544" t="s">
        <v>6</v>
      </c>
      <c r="C544" t="s">
        <v>7</v>
      </c>
      <c r="D544">
        <v>131.47</v>
      </c>
      <c r="E544">
        <v>232</v>
      </c>
      <c r="F544">
        <v>4.7</v>
      </c>
      <c r="G544" t="b">
        <v>0</v>
      </c>
      <c r="H544">
        <f>(Table1[[#This Row],[price]]*Table1[[#This Row],[units_sold]])</f>
        <v>30501.040000000001</v>
      </c>
      <c r="I544" t="str">
        <f>IF(Table1[[#This Row],[in_stock]]=TRUE,"Available","Out of stock")</f>
        <v>Out of stock</v>
      </c>
      <c r="J544" t="str">
        <f>IF(Table1[[#This Row],[rating]]&gt;=4,"High",IF(Table1[[#This Row],[rating]]&gt;=2.5,"Medium","Low"))</f>
        <v>High</v>
      </c>
      <c r="K544" t="str">
        <f>IF(Table1[[#This Row],[price]]&lt;200,"Budget",IF(Table1[[#This Row],[price]]&lt;600,"Mid-Range",IF(Table1[[#This Row],[price]]&lt;1000,"Premium","Luxury")))</f>
        <v>Budget</v>
      </c>
      <c r="L544" t="str">
        <f>IF(Table1[[#This Row],[units_sold]]&lt;50,"Very Low",IF(Table1[[#This Row],[units_sold]]&lt;150,"Low",IF(Table1[[#This Row],[units_sold]]&lt;300,"Medium","High")))</f>
        <v>Medium</v>
      </c>
      <c r="M544" t="str">
        <f t="shared" si="17"/>
        <v>Normal</v>
      </c>
      <c r="N544">
        <f>(Table1[[#This Row],[price]]*0.7)</f>
        <v>92.028999999999996</v>
      </c>
    </row>
    <row r="545" spans="1:14" x14ac:dyDescent="0.35">
      <c r="A545" t="str">
        <f t="shared" si="16"/>
        <v>P544</v>
      </c>
      <c r="B545" t="s">
        <v>10</v>
      </c>
      <c r="C545" t="s">
        <v>9</v>
      </c>
      <c r="D545">
        <v>610.86</v>
      </c>
      <c r="E545">
        <v>213</v>
      </c>
      <c r="F545">
        <v>1.4</v>
      </c>
      <c r="G545" t="b">
        <v>1</v>
      </c>
      <c r="H545">
        <f>(Table1[[#This Row],[price]]*Table1[[#This Row],[units_sold]])</f>
        <v>130113.18000000001</v>
      </c>
      <c r="I545" t="str">
        <f>IF(Table1[[#This Row],[in_stock]]=TRUE,"Available","Out of stock")</f>
        <v>Available</v>
      </c>
      <c r="J545" t="str">
        <f>IF(Table1[[#This Row],[rating]]&gt;=4,"High",IF(Table1[[#This Row],[rating]]&gt;=2.5,"Medium","Low"))</f>
        <v>Low</v>
      </c>
      <c r="K545" t="str">
        <f>IF(Table1[[#This Row],[price]]&lt;200,"Budget",IF(Table1[[#This Row],[price]]&lt;600,"Mid-Range",IF(Table1[[#This Row],[price]]&lt;1000,"Premium","Luxury")))</f>
        <v>Premium</v>
      </c>
      <c r="L545" t="str">
        <f>IF(Table1[[#This Row],[units_sold]]&lt;50,"Very Low",IF(Table1[[#This Row],[units_sold]]&lt;150,"Low",IF(Table1[[#This Row],[units_sold]]&lt;300,"Medium","High")))</f>
        <v>Medium</v>
      </c>
      <c r="M545" t="str">
        <f t="shared" si="17"/>
        <v>Normal</v>
      </c>
      <c r="N545">
        <f>(Table1[[#This Row],[price]]*0.7)</f>
        <v>427.60199999999998</v>
      </c>
    </row>
    <row r="546" spans="1:14" x14ac:dyDescent="0.35">
      <c r="A546" t="str">
        <f t="shared" si="16"/>
        <v>P545</v>
      </c>
      <c r="B546" t="s">
        <v>8</v>
      </c>
      <c r="C546" t="s">
        <v>9</v>
      </c>
      <c r="D546">
        <v>338.64</v>
      </c>
      <c r="E546">
        <v>79</v>
      </c>
      <c r="F546">
        <v>3</v>
      </c>
      <c r="G546" t="b">
        <v>1</v>
      </c>
      <c r="H546">
        <f>(Table1[[#This Row],[price]]*Table1[[#This Row],[units_sold]])</f>
        <v>26752.559999999998</v>
      </c>
      <c r="I546" t="str">
        <f>IF(Table1[[#This Row],[in_stock]]=TRUE,"Available","Out of stock")</f>
        <v>Available</v>
      </c>
      <c r="J546" t="str">
        <f>IF(Table1[[#This Row],[rating]]&gt;=4,"High",IF(Table1[[#This Row],[rating]]&gt;=2.5,"Medium","Low"))</f>
        <v>Medium</v>
      </c>
      <c r="K546" t="str">
        <f>IF(Table1[[#This Row],[price]]&lt;200,"Budget",IF(Table1[[#This Row],[price]]&lt;600,"Mid-Range",IF(Table1[[#This Row],[price]]&lt;1000,"Premium","Luxury")))</f>
        <v>Mid-Range</v>
      </c>
      <c r="L546" t="str">
        <f>IF(Table1[[#This Row],[units_sold]]&lt;50,"Very Low",IF(Table1[[#This Row],[units_sold]]&lt;150,"Low",IF(Table1[[#This Row],[units_sold]]&lt;300,"Medium","High")))</f>
        <v>Low</v>
      </c>
      <c r="M546" t="str">
        <f t="shared" si="17"/>
        <v>Normal</v>
      </c>
      <c r="N546">
        <f>(Table1[[#This Row],[price]]*0.7)</f>
        <v>237.04799999999997</v>
      </c>
    </row>
    <row r="547" spans="1:14" x14ac:dyDescent="0.35">
      <c r="A547" t="str">
        <f t="shared" si="16"/>
        <v>P546</v>
      </c>
      <c r="B547" t="s">
        <v>11</v>
      </c>
      <c r="C547" t="s">
        <v>9</v>
      </c>
      <c r="D547">
        <v>633.41999999999996</v>
      </c>
      <c r="E547">
        <v>214</v>
      </c>
      <c r="F547">
        <v>1.9</v>
      </c>
      <c r="G547" t="b">
        <v>1</v>
      </c>
      <c r="H547">
        <f>(Table1[[#This Row],[price]]*Table1[[#This Row],[units_sold]])</f>
        <v>135551.88</v>
      </c>
      <c r="I547" t="str">
        <f>IF(Table1[[#This Row],[in_stock]]=TRUE,"Available","Out of stock")</f>
        <v>Available</v>
      </c>
      <c r="J547" t="str">
        <f>IF(Table1[[#This Row],[rating]]&gt;=4,"High",IF(Table1[[#This Row],[rating]]&gt;=2.5,"Medium","Low"))</f>
        <v>Low</v>
      </c>
      <c r="K547" t="str">
        <f>IF(Table1[[#This Row],[price]]&lt;200,"Budget",IF(Table1[[#This Row],[price]]&lt;600,"Mid-Range",IF(Table1[[#This Row],[price]]&lt;1000,"Premium","Luxury")))</f>
        <v>Premium</v>
      </c>
      <c r="L547" t="str">
        <f>IF(Table1[[#This Row],[units_sold]]&lt;50,"Very Low",IF(Table1[[#This Row],[units_sold]]&lt;150,"Low",IF(Table1[[#This Row],[units_sold]]&lt;300,"Medium","High")))</f>
        <v>Medium</v>
      </c>
      <c r="M547" t="str">
        <f t="shared" si="17"/>
        <v>Normal</v>
      </c>
      <c r="N547">
        <f>(Table1[[#This Row],[price]]*0.7)</f>
        <v>443.39399999999995</v>
      </c>
    </row>
    <row r="548" spans="1:14" x14ac:dyDescent="0.35">
      <c r="A548" t="str">
        <f t="shared" si="16"/>
        <v>P547</v>
      </c>
      <c r="B548" t="s">
        <v>10</v>
      </c>
      <c r="C548" t="s">
        <v>9</v>
      </c>
      <c r="D548">
        <v>313.33</v>
      </c>
      <c r="E548">
        <v>116</v>
      </c>
      <c r="F548">
        <v>1.2</v>
      </c>
      <c r="G548" t="b">
        <v>1</v>
      </c>
      <c r="H548">
        <f>(Table1[[#This Row],[price]]*Table1[[#This Row],[units_sold]])</f>
        <v>36346.28</v>
      </c>
      <c r="I548" t="str">
        <f>IF(Table1[[#This Row],[in_stock]]=TRUE,"Available","Out of stock")</f>
        <v>Available</v>
      </c>
      <c r="J548" t="str">
        <f>IF(Table1[[#This Row],[rating]]&gt;=4,"High",IF(Table1[[#This Row],[rating]]&gt;=2.5,"Medium","Low"))</f>
        <v>Low</v>
      </c>
      <c r="K548" t="str">
        <f>IF(Table1[[#This Row],[price]]&lt;200,"Budget",IF(Table1[[#This Row],[price]]&lt;600,"Mid-Range",IF(Table1[[#This Row],[price]]&lt;1000,"Premium","Luxury")))</f>
        <v>Mid-Range</v>
      </c>
      <c r="L548" t="str">
        <f>IF(Table1[[#This Row],[units_sold]]&lt;50,"Very Low",IF(Table1[[#This Row],[units_sold]]&lt;150,"Low",IF(Table1[[#This Row],[units_sold]]&lt;300,"Medium","High")))</f>
        <v>Low</v>
      </c>
      <c r="M548" t="str">
        <f t="shared" si="17"/>
        <v>Normal</v>
      </c>
      <c r="N548">
        <f>(Table1[[#This Row],[price]]*0.7)</f>
        <v>219.33099999999999</v>
      </c>
    </row>
    <row r="549" spans="1:14" x14ac:dyDescent="0.35">
      <c r="A549" t="str">
        <f t="shared" si="16"/>
        <v>P548</v>
      </c>
      <c r="B549" t="s">
        <v>11</v>
      </c>
      <c r="C549" t="s">
        <v>9</v>
      </c>
      <c r="D549">
        <v>1262.27</v>
      </c>
      <c r="E549">
        <v>92</v>
      </c>
      <c r="F549">
        <v>1.1000000000000001</v>
      </c>
      <c r="G549" t="b">
        <v>1</v>
      </c>
      <c r="H549">
        <f>(Table1[[#This Row],[price]]*Table1[[#This Row],[units_sold]])</f>
        <v>116128.84</v>
      </c>
      <c r="I549" t="str">
        <f>IF(Table1[[#This Row],[in_stock]]=TRUE,"Available","Out of stock")</f>
        <v>Available</v>
      </c>
      <c r="J549" t="str">
        <f>IF(Table1[[#This Row],[rating]]&gt;=4,"High",IF(Table1[[#This Row],[rating]]&gt;=2.5,"Medium","Low"))</f>
        <v>Low</v>
      </c>
      <c r="K549" t="str">
        <f>IF(Table1[[#This Row],[price]]&lt;200,"Budget",IF(Table1[[#This Row],[price]]&lt;600,"Mid-Range",IF(Table1[[#This Row],[price]]&lt;1000,"Premium","Luxury")))</f>
        <v>Luxury</v>
      </c>
      <c r="L549" t="str">
        <f>IF(Table1[[#This Row],[units_sold]]&lt;50,"Very Low",IF(Table1[[#This Row],[units_sold]]&lt;150,"Low",IF(Table1[[#This Row],[units_sold]]&lt;300,"Medium","High")))</f>
        <v>Low</v>
      </c>
      <c r="M549" t="str">
        <f t="shared" si="17"/>
        <v>Normal</v>
      </c>
      <c r="N549">
        <f>(Table1[[#This Row],[price]]*0.7)</f>
        <v>883.58899999999994</v>
      </c>
    </row>
    <row r="550" spans="1:14" x14ac:dyDescent="0.35">
      <c r="A550" t="str">
        <f t="shared" si="16"/>
        <v>P549</v>
      </c>
      <c r="B550" t="s">
        <v>12</v>
      </c>
      <c r="C550" t="s">
        <v>7</v>
      </c>
      <c r="D550">
        <v>269.55</v>
      </c>
      <c r="E550">
        <v>270</v>
      </c>
      <c r="F550">
        <v>1.7</v>
      </c>
      <c r="G550" t="b">
        <v>0</v>
      </c>
      <c r="H550">
        <f>(Table1[[#This Row],[price]]*Table1[[#This Row],[units_sold]])</f>
        <v>72778.5</v>
      </c>
      <c r="I550" t="str">
        <f>IF(Table1[[#This Row],[in_stock]]=TRUE,"Available","Out of stock")</f>
        <v>Out of stock</v>
      </c>
      <c r="J550" t="str">
        <f>IF(Table1[[#This Row],[rating]]&gt;=4,"High",IF(Table1[[#This Row],[rating]]&gt;=2.5,"Medium","Low"))</f>
        <v>Low</v>
      </c>
      <c r="K550" t="str">
        <f>IF(Table1[[#This Row],[price]]&lt;200,"Budget",IF(Table1[[#This Row],[price]]&lt;600,"Mid-Range",IF(Table1[[#This Row],[price]]&lt;1000,"Premium","Luxury")))</f>
        <v>Mid-Range</v>
      </c>
      <c r="L550" t="str">
        <f>IF(Table1[[#This Row],[units_sold]]&lt;50,"Very Low",IF(Table1[[#This Row],[units_sold]]&lt;150,"Low",IF(Table1[[#This Row],[units_sold]]&lt;300,"Medium","High")))</f>
        <v>Medium</v>
      </c>
      <c r="M550" t="str">
        <f t="shared" si="17"/>
        <v>Normal</v>
      </c>
      <c r="N550">
        <f>(Table1[[#This Row],[price]]*0.7)</f>
        <v>188.685</v>
      </c>
    </row>
    <row r="551" spans="1:14" x14ac:dyDescent="0.35">
      <c r="A551" t="str">
        <f t="shared" si="16"/>
        <v>P550</v>
      </c>
      <c r="B551" t="s">
        <v>12</v>
      </c>
      <c r="C551" t="s">
        <v>7</v>
      </c>
      <c r="D551">
        <v>1441.56</v>
      </c>
      <c r="E551">
        <v>411</v>
      </c>
      <c r="F551">
        <v>4.5</v>
      </c>
      <c r="G551" t="b">
        <v>0</v>
      </c>
      <c r="H551">
        <f>(Table1[[#This Row],[price]]*Table1[[#This Row],[units_sold]])</f>
        <v>592481.16</v>
      </c>
      <c r="I551" t="str">
        <f>IF(Table1[[#This Row],[in_stock]]=TRUE,"Available","Out of stock")</f>
        <v>Out of stock</v>
      </c>
      <c r="J551" t="str">
        <f>IF(Table1[[#This Row],[rating]]&gt;=4,"High",IF(Table1[[#This Row],[rating]]&gt;=2.5,"Medium","Low"))</f>
        <v>High</v>
      </c>
      <c r="K551" t="str">
        <f>IF(Table1[[#This Row],[price]]&lt;200,"Budget",IF(Table1[[#This Row],[price]]&lt;600,"Mid-Range",IF(Table1[[#This Row],[price]]&lt;1000,"Premium","Luxury")))</f>
        <v>Luxury</v>
      </c>
      <c r="L551" t="str">
        <f>IF(Table1[[#This Row],[units_sold]]&lt;50,"Very Low",IF(Table1[[#This Row],[units_sold]]&lt;150,"Low",IF(Table1[[#This Row],[units_sold]]&lt;300,"Medium","High")))</f>
        <v>High</v>
      </c>
      <c r="M551" t="str">
        <f t="shared" si="17"/>
        <v>High Demand - Out of Stock</v>
      </c>
      <c r="N551">
        <f>(Table1[[#This Row],[price]]*0.7)</f>
        <v>1009.0919999999999</v>
      </c>
    </row>
    <row r="552" spans="1:14" x14ac:dyDescent="0.35">
      <c r="A552" t="str">
        <f t="shared" si="16"/>
        <v>P551</v>
      </c>
      <c r="B552" t="s">
        <v>15</v>
      </c>
      <c r="C552" t="s">
        <v>7</v>
      </c>
      <c r="D552">
        <v>629.70000000000005</v>
      </c>
      <c r="E552">
        <v>381</v>
      </c>
      <c r="F552">
        <v>2.1</v>
      </c>
      <c r="G552" t="b">
        <v>1</v>
      </c>
      <c r="H552">
        <f>(Table1[[#This Row],[price]]*Table1[[#This Row],[units_sold]])</f>
        <v>239915.7</v>
      </c>
      <c r="I552" t="str">
        <f>IF(Table1[[#This Row],[in_stock]]=TRUE,"Available","Out of stock")</f>
        <v>Available</v>
      </c>
      <c r="J552" t="str">
        <f>IF(Table1[[#This Row],[rating]]&gt;=4,"High",IF(Table1[[#This Row],[rating]]&gt;=2.5,"Medium","Low"))</f>
        <v>Low</v>
      </c>
      <c r="K552" t="str">
        <f>IF(Table1[[#This Row],[price]]&lt;200,"Budget",IF(Table1[[#This Row],[price]]&lt;600,"Mid-Range",IF(Table1[[#This Row],[price]]&lt;1000,"Premium","Luxury")))</f>
        <v>Premium</v>
      </c>
      <c r="L552" t="str">
        <f>IF(Table1[[#This Row],[units_sold]]&lt;50,"Very Low",IF(Table1[[#This Row],[units_sold]]&lt;150,"Low",IF(Table1[[#This Row],[units_sold]]&lt;300,"Medium","High")))</f>
        <v>High</v>
      </c>
      <c r="M552" t="str">
        <f t="shared" si="17"/>
        <v>Normal</v>
      </c>
      <c r="N552">
        <f>(Table1[[#This Row],[price]]*0.7)</f>
        <v>440.79</v>
      </c>
    </row>
    <row r="553" spans="1:14" x14ac:dyDescent="0.35">
      <c r="A553" t="str">
        <f t="shared" si="16"/>
        <v>P552</v>
      </c>
      <c r="B553" t="s">
        <v>13</v>
      </c>
      <c r="C553" t="s">
        <v>9</v>
      </c>
      <c r="D553">
        <v>1270.9100000000001</v>
      </c>
      <c r="E553">
        <v>489</v>
      </c>
      <c r="F553">
        <v>4.8</v>
      </c>
      <c r="G553" t="b">
        <v>1</v>
      </c>
      <c r="H553">
        <f>(Table1[[#This Row],[price]]*Table1[[#This Row],[units_sold]])</f>
        <v>621474.99</v>
      </c>
      <c r="I553" t="str">
        <f>IF(Table1[[#This Row],[in_stock]]=TRUE,"Available","Out of stock")</f>
        <v>Available</v>
      </c>
      <c r="J553" t="str">
        <f>IF(Table1[[#This Row],[rating]]&gt;=4,"High",IF(Table1[[#This Row],[rating]]&gt;=2.5,"Medium","Low"))</f>
        <v>High</v>
      </c>
      <c r="K553" t="str">
        <f>IF(Table1[[#This Row],[price]]&lt;200,"Budget",IF(Table1[[#This Row],[price]]&lt;600,"Mid-Range",IF(Table1[[#This Row],[price]]&lt;1000,"Premium","Luxury")))</f>
        <v>Luxury</v>
      </c>
      <c r="L553" t="str">
        <f>IF(Table1[[#This Row],[units_sold]]&lt;50,"Very Low",IF(Table1[[#This Row],[units_sold]]&lt;150,"Low",IF(Table1[[#This Row],[units_sold]]&lt;300,"Medium","High")))</f>
        <v>High</v>
      </c>
      <c r="M553" t="str">
        <f t="shared" si="17"/>
        <v>Normal</v>
      </c>
      <c r="N553">
        <f>(Table1[[#This Row],[price]]*0.7)</f>
        <v>889.63700000000006</v>
      </c>
    </row>
    <row r="554" spans="1:14" x14ac:dyDescent="0.35">
      <c r="A554" t="str">
        <f t="shared" si="16"/>
        <v>P553</v>
      </c>
      <c r="B554" t="s">
        <v>6</v>
      </c>
      <c r="C554" t="s">
        <v>7</v>
      </c>
      <c r="D554">
        <v>946.86</v>
      </c>
      <c r="E554">
        <v>168</v>
      </c>
      <c r="F554">
        <v>3.3</v>
      </c>
      <c r="G554" t="b">
        <v>1</v>
      </c>
      <c r="H554">
        <f>(Table1[[#This Row],[price]]*Table1[[#This Row],[units_sold]])</f>
        <v>159072.48000000001</v>
      </c>
      <c r="I554" t="str">
        <f>IF(Table1[[#This Row],[in_stock]]=TRUE,"Available","Out of stock")</f>
        <v>Available</v>
      </c>
      <c r="J554" t="str">
        <f>IF(Table1[[#This Row],[rating]]&gt;=4,"High",IF(Table1[[#This Row],[rating]]&gt;=2.5,"Medium","Low"))</f>
        <v>Medium</v>
      </c>
      <c r="K554" t="str">
        <f>IF(Table1[[#This Row],[price]]&lt;200,"Budget",IF(Table1[[#This Row],[price]]&lt;600,"Mid-Range",IF(Table1[[#This Row],[price]]&lt;1000,"Premium","Luxury")))</f>
        <v>Premium</v>
      </c>
      <c r="L554" t="str">
        <f>IF(Table1[[#This Row],[units_sold]]&lt;50,"Very Low",IF(Table1[[#This Row],[units_sold]]&lt;150,"Low",IF(Table1[[#This Row],[units_sold]]&lt;300,"Medium","High")))</f>
        <v>Medium</v>
      </c>
      <c r="M554" t="str">
        <f t="shared" si="17"/>
        <v>Normal</v>
      </c>
      <c r="N554">
        <f>(Table1[[#This Row],[price]]*0.7)</f>
        <v>662.80200000000002</v>
      </c>
    </row>
    <row r="555" spans="1:14" x14ac:dyDescent="0.35">
      <c r="A555" t="str">
        <f t="shared" si="16"/>
        <v>P554</v>
      </c>
      <c r="B555" t="s">
        <v>16</v>
      </c>
      <c r="C555" t="s">
        <v>9</v>
      </c>
      <c r="D555">
        <v>1105.67</v>
      </c>
      <c r="E555">
        <v>58</v>
      </c>
      <c r="F555">
        <v>2.7</v>
      </c>
      <c r="G555" t="b">
        <v>1</v>
      </c>
      <c r="H555">
        <f>(Table1[[#This Row],[price]]*Table1[[#This Row],[units_sold]])</f>
        <v>64128.86</v>
      </c>
      <c r="I555" t="str">
        <f>IF(Table1[[#This Row],[in_stock]]=TRUE,"Available","Out of stock")</f>
        <v>Available</v>
      </c>
      <c r="J555" t="str">
        <f>IF(Table1[[#This Row],[rating]]&gt;=4,"High",IF(Table1[[#This Row],[rating]]&gt;=2.5,"Medium","Low"))</f>
        <v>Medium</v>
      </c>
      <c r="K555" t="str">
        <f>IF(Table1[[#This Row],[price]]&lt;200,"Budget",IF(Table1[[#This Row],[price]]&lt;600,"Mid-Range",IF(Table1[[#This Row],[price]]&lt;1000,"Premium","Luxury")))</f>
        <v>Luxury</v>
      </c>
      <c r="L555" t="str">
        <f>IF(Table1[[#This Row],[units_sold]]&lt;50,"Very Low",IF(Table1[[#This Row],[units_sold]]&lt;150,"Low",IF(Table1[[#This Row],[units_sold]]&lt;300,"Medium","High")))</f>
        <v>Low</v>
      </c>
      <c r="M555" t="str">
        <f t="shared" si="17"/>
        <v>Normal</v>
      </c>
      <c r="N555">
        <f>(Table1[[#This Row],[price]]*0.7)</f>
        <v>773.96900000000005</v>
      </c>
    </row>
    <row r="556" spans="1:14" x14ac:dyDescent="0.35">
      <c r="A556" t="str">
        <f t="shared" si="16"/>
        <v>P555</v>
      </c>
      <c r="B556" t="s">
        <v>15</v>
      </c>
      <c r="C556" t="s">
        <v>7</v>
      </c>
      <c r="D556">
        <v>1153.9100000000001</v>
      </c>
      <c r="E556">
        <v>284</v>
      </c>
      <c r="F556">
        <v>3.3</v>
      </c>
      <c r="G556" t="b">
        <v>1</v>
      </c>
      <c r="H556">
        <f>(Table1[[#This Row],[price]]*Table1[[#This Row],[units_sold]])</f>
        <v>327710.44</v>
      </c>
      <c r="I556" t="str">
        <f>IF(Table1[[#This Row],[in_stock]]=TRUE,"Available","Out of stock")</f>
        <v>Available</v>
      </c>
      <c r="J556" t="str">
        <f>IF(Table1[[#This Row],[rating]]&gt;=4,"High",IF(Table1[[#This Row],[rating]]&gt;=2.5,"Medium","Low"))</f>
        <v>Medium</v>
      </c>
      <c r="K556" t="str">
        <f>IF(Table1[[#This Row],[price]]&lt;200,"Budget",IF(Table1[[#This Row],[price]]&lt;600,"Mid-Range",IF(Table1[[#This Row],[price]]&lt;1000,"Premium","Luxury")))</f>
        <v>Luxury</v>
      </c>
      <c r="L556" t="str">
        <f>IF(Table1[[#This Row],[units_sold]]&lt;50,"Very Low",IF(Table1[[#This Row],[units_sold]]&lt;150,"Low",IF(Table1[[#This Row],[units_sold]]&lt;300,"Medium","High")))</f>
        <v>Medium</v>
      </c>
      <c r="M556" t="str">
        <f t="shared" si="17"/>
        <v>Normal</v>
      </c>
      <c r="N556">
        <f>(Table1[[#This Row],[price]]*0.7)</f>
        <v>807.73699999999997</v>
      </c>
    </row>
    <row r="557" spans="1:14" x14ac:dyDescent="0.35">
      <c r="A557" t="str">
        <f t="shared" si="16"/>
        <v>P556</v>
      </c>
      <c r="B557" t="s">
        <v>17</v>
      </c>
      <c r="C557" t="s">
        <v>7</v>
      </c>
      <c r="D557">
        <v>762.22</v>
      </c>
      <c r="E557">
        <v>26</v>
      </c>
      <c r="F557">
        <v>3.1</v>
      </c>
      <c r="G557" t="b">
        <v>1</v>
      </c>
      <c r="H557">
        <f>(Table1[[#This Row],[price]]*Table1[[#This Row],[units_sold]])</f>
        <v>19817.72</v>
      </c>
      <c r="I557" t="str">
        <f>IF(Table1[[#This Row],[in_stock]]=TRUE,"Available","Out of stock")</f>
        <v>Available</v>
      </c>
      <c r="J557" t="str">
        <f>IF(Table1[[#This Row],[rating]]&gt;=4,"High",IF(Table1[[#This Row],[rating]]&gt;=2.5,"Medium","Low"))</f>
        <v>Medium</v>
      </c>
      <c r="K557" t="str">
        <f>IF(Table1[[#This Row],[price]]&lt;200,"Budget",IF(Table1[[#This Row],[price]]&lt;600,"Mid-Range",IF(Table1[[#This Row],[price]]&lt;1000,"Premium","Luxury")))</f>
        <v>Premium</v>
      </c>
      <c r="L557" t="str">
        <f>IF(Table1[[#This Row],[units_sold]]&lt;50,"Very Low",IF(Table1[[#This Row],[units_sold]]&lt;150,"Low",IF(Table1[[#This Row],[units_sold]]&lt;300,"Medium","High")))</f>
        <v>Very Low</v>
      </c>
      <c r="M557" t="str">
        <f t="shared" si="17"/>
        <v>Normal</v>
      </c>
      <c r="N557">
        <f>(Table1[[#This Row],[price]]*0.7)</f>
        <v>533.55399999999997</v>
      </c>
    </row>
    <row r="558" spans="1:14" x14ac:dyDescent="0.35">
      <c r="A558" t="str">
        <f t="shared" si="16"/>
        <v>P557</v>
      </c>
      <c r="B558" t="s">
        <v>16</v>
      </c>
      <c r="C558" t="s">
        <v>9</v>
      </c>
      <c r="D558">
        <v>819.52</v>
      </c>
      <c r="E558">
        <v>369</v>
      </c>
      <c r="F558">
        <v>4</v>
      </c>
      <c r="G558" t="b">
        <v>1</v>
      </c>
      <c r="H558">
        <f>(Table1[[#This Row],[price]]*Table1[[#This Row],[units_sold]])</f>
        <v>302402.88</v>
      </c>
      <c r="I558" t="str">
        <f>IF(Table1[[#This Row],[in_stock]]=TRUE,"Available","Out of stock")</f>
        <v>Available</v>
      </c>
      <c r="J558" t="str">
        <f>IF(Table1[[#This Row],[rating]]&gt;=4,"High",IF(Table1[[#This Row],[rating]]&gt;=2.5,"Medium","Low"))</f>
        <v>High</v>
      </c>
      <c r="K558" t="str">
        <f>IF(Table1[[#This Row],[price]]&lt;200,"Budget",IF(Table1[[#This Row],[price]]&lt;600,"Mid-Range",IF(Table1[[#This Row],[price]]&lt;1000,"Premium","Luxury")))</f>
        <v>Premium</v>
      </c>
      <c r="L558" t="str">
        <f>IF(Table1[[#This Row],[units_sold]]&lt;50,"Very Low",IF(Table1[[#This Row],[units_sold]]&lt;150,"Low",IF(Table1[[#This Row],[units_sold]]&lt;300,"Medium","High")))</f>
        <v>High</v>
      </c>
      <c r="M558" t="str">
        <f t="shared" si="17"/>
        <v>Normal</v>
      </c>
      <c r="N558">
        <f>(Table1[[#This Row],[price]]*0.7)</f>
        <v>573.66399999999999</v>
      </c>
    </row>
    <row r="559" spans="1:14" x14ac:dyDescent="0.35">
      <c r="A559" t="str">
        <f t="shared" si="16"/>
        <v>P558</v>
      </c>
      <c r="B559" t="s">
        <v>14</v>
      </c>
      <c r="C559" t="s">
        <v>9</v>
      </c>
      <c r="D559">
        <v>775.85</v>
      </c>
      <c r="E559">
        <v>447</v>
      </c>
      <c r="F559">
        <v>2.1</v>
      </c>
      <c r="G559" t="b">
        <v>1</v>
      </c>
      <c r="H559">
        <f>(Table1[[#This Row],[price]]*Table1[[#This Row],[units_sold]])</f>
        <v>346804.95</v>
      </c>
      <c r="I559" t="str">
        <f>IF(Table1[[#This Row],[in_stock]]=TRUE,"Available","Out of stock")</f>
        <v>Available</v>
      </c>
      <c r="J559" t="str">
        <f>IF(Table1[[#This Row],[rating]]&gt;=4,"High",IF(Table1[[#This Row],[rating]]&gt;=2.5,"Medium","Low"))</f>
        <v>Low</v>
      </c>
      <c r="K559" t="str">
        <f>IF(Table1[[#This Row],[price]]&lt;200,"Budget",IF(Table1[[#This Row],[price]]&lt;600,"Mid-Range",IF(Table1[[#This Row],[price]]&lt;1000,"Premium","Luxury")))</f>
        <v>Premium</v>
      </c>
      <c r="L559" t="str">
        <f>IF(Table1[[#This Row],[units_sold]]&lt;50,"Very Low",IF(Table1[[#This Row],[units_sold]]&lt;150,"Low",IF(Table1[[#This Row],[units_sold]]&lt;300,"Medium","High")))</f>
        <v>High</v>
      </c>
      <c r="M559" t="str">
        <f t="shared" si="17"/>
        <v>Normal</v>
      </c>
      <c r="N559">
        <f>(Table1[[#This Row],[price]]*0.7)</f>
        <v>543.09500000000003</v>
      </c>
    </row>
    <row r="560" spans="1:14" x14ac:dyDescent="0.35">
      <c r="A560" t="str">
        <f t="shared" si="16"/>
        <v>P559</v>
      </c>
      <c r="B560" t="s">
        <v>8</v>
      </c>
      <c r="C560" t="s">
        <v>9</v>
      </c>
      <c r="D560">
        <v>886.21</v>
      </c>
      <c r="E560">
        <v>66</v>
      </c>
      <c r="F560">
        <v>2.4</v>
      </c>
      <c r="G560" t="b">
        <v>1</v>
      </c>
      <c r="H560">
        <f>(Table1[[#This Row],[price]]*Table1[[#This Row],[units_sold]])</f>
        <v>58489.86</v>
      </c>
      <c r="I560" t="str">
        <f>IF(Table1[[#This Row],[in_stock]]=TRUE,"Available","Out of stock")</f>
        <v>Available</v>
      </c>
      <c r="J560" t="str">
        <f>IF(Table1[[#This Row],[rating]]&gt;=4,"High",IF(Table1[[#This Row],[rating]]&gt;=2.5,"Medium","Low"))</f>
        <v>Low</v>
      </c>
      <c r="K560" t="str">
        <f>IF(Table1[[#This Row],[price]]&lt;200,"Budget",IF(Table1[[#This Row],[price]]&lt;600,"Mid-Range",IF(Table1[[#This Row],[price]]&lt;1000,"Premium","Luxury")))</f>
        <v>Premium</v>
      </c>
      <c r="L560" t="str">
        <f>IF(Table1[[#This Row],[units_sold]]&lt;50,"Very Low",IF(Table1[[#This Row],[units_sold]]&lt;150,"Low",IF(Table1[[#This Row],[units_sold]]&lt;300,"Medium","High")))</f>
        <v>Low</v>
      </c>
      <c r="M560" t="str">
        <f t="shared" si="17"/>
        <v>Normal</v>
      </c>
      <c r="N560">
        <f>(Table1[[#This Row],[price]]*0.7)</f>
        <v>620.34699999999998</v>
      </c>
    </row>
    <row r="561" spans="1:14" x14ac:dyDescent="0.35">
      <c r="A561" t="str">
        <f t="shared" si="16"/>
        <v>P560</v>
      </c>
      <c r="B561" t="s">
        <v>17</v>
      </c>
      <c r="C561" t="s">
        <v>7</v>
      </c>
      <c r="D561">
        <v>53.8</v>
      </c>
      <c r="E561">
        <v>409</v>
      </c>
      <c r="F561">
        <v>4.5999999999999996</v>
      </c>
      <c r="G561" t="b">
        <v>1</v>
      </c>
      <c r="H561">
        <f>(Table1[[#This Row],[price]]*Table1[[#This Row],[units_sold]])</f>
        <v>22004.199999999997</v>
      </c>
      <c r="I561" t="str">
        <f>IF(Table1[[#This Row],[in_stock]]=TRUE,"Available","Out of stock")</f>
        <v>Available</v>
      </c>
      <c r="J561" t="str">
        <f>IF(Table1[[#This Row],[rating]]&gt;=4,"High",IF(Table1[[#This Row],[rating]]&gt;=2.5,"Medium","Low"))</f>
        <v>High</v>
      </c>
      <c r="K561" t="str">
        <f>IF(Table1[[#This Row],[price]]&lt;200,"Budget",IF(Table1[[#This Row],[price]]&lt;600,"Mid-Range",IF(Table1[[#This Row],[price]]&lt;1000,"Premium","Luxury")))</f>
        <v>Budget</v>
      </c>
      <c r="L561" t="str">
        <f>IF(Table1[[#This Row],[units_sold]]&lt;50,"Very Low",IF(Table1[[#This Row],[units_sold]]&lt;150,"Low",IF(Table1[[#This Row],[units_sold]]&lt;300,"Medium","High")))</f>
        <v>High</v>
      </c>
      <c r="M561" t="str">
        <f t="shared" si="17"/>
        <v>Normal</v>
      </c>
      <c r="N561">
        <f>(Table1[[#This Row],[price]]*0.7)</f>
        <v>37.659999999999997</v>
      </c>
    </row>
    <row r="562" spans="1:14" x14ac:dyDescent="0.35">
      <c r="A562" t="str">
        <f t="shared" si="16"/>
        <v>P561</v>
      </c>
      <c r="B562" t="s">
        <v>17</v>
      </c>
      <c r="C562" t="s">
        <v>7</v>
      </c>
      <c r="D562">
        <v>599.32000000000005</v>
      </c>
      <c r="E562">
        <v>248</v>
      </c>
      <c r="F562">
        <v>4.8</v>
      </c>
      <c r="G562" t="b">
        <v>1</v>
      </c>
      <c r="H562">
        <f>(Table1[[#This Row],[price]]*Table1[[#This Row],[units_sold]])</f>
        <v>148631.36000000002</v>
      </c>
      <c r="I562" t="str">
        <f>IF(Table1[[#This Row],[in_stock]]=TRUE,"Available","Out of stock")</f>
        <v>Available</v>
      </c>
      <c r="J562" t="str">
        <f>IF(Table1[[#This Row],[rating]]&gt;=4,"High",IF(Table1[[#This Row],[rating]]&gt;=2.5,"Medium","Low"))</f>
        <v>High</v>
      </c>
      <c r="K562" t="str">
        <f>IF(Table1[[#This Row],[price]]&lt;200,"Budget",IF(Table1[[#This Row],[price]]&lt;600,"Mid-Range",IF(Table1[[#This Row],[price]]&lt;1000,"Premium","Luxury")))</f>
        <v>Mid-Range</v>
      </c>
      <c r="L562" t="str">
        <f>IF(Table1[[#This Row],[units_sold]]&lt;50,"Very Low",IF(Table1[[#This Row],[units_sold]]&lt;150,"Low",IF(Table1[[#This Row],[units_sold]]&lt;300,"Medium","High")))</f>
        <v>Medium</v>
      </c>
      <c r="M562" t="str">
        <f t="shared" si="17"/>
        <v>Normal</v>
      </c>
      <c r="N562">
        <f>(Table1[[#This Row],[price]]*0.7)</f>
        <v>419.524</v>
      </c>
    </row>
    <row r="563" spans="1:14" x14ac:dyDescent="0.35">
      <c r="A563" t="str">
        <f t="shared" si="16"/>
        <v>P562</v>
      </c>
      <c r="B563" t="s">
        <v>15</v>
      </c>
      <c r="C563" t="s">
        <v>7</v>
      </c>
      <c r="D563">
        <v>913.22</v>
      </c>
      <c r="E563">
        <v>254</v>
      </c>
      <c r="F563">
        <v>4.5999999999999996</v>
      </c>
      <c r="G563" t="b">
        <v>1</v>
      </c>
      <c r="H563">
        <f>(Table1[[#This Row],[price]]*Table1[[#This Row],[units_sold]])</f>
        <v>231957.88</v>
      </c>
      <c r="I563" t="str">
        <f>IF(Table1[[#This Row],[in_stock]]=TRUE,"Available","Out of stock")</f>
        <v>Available</v>
      </c>
      <c r="J563" t="str">
        <f>IF(Table1[[#This Row],[rating]]&gt;=4,"High",IF(Table1[[#This Row],[rating]]&gt;=2.5,"Medium","Low"))</f>
        <v>High</v>
      </c>
      <c r="K563" t="str">
        <f>IF(Table1[[#This Row],[price]]&lt;200,"Budget",IF(Table1[[#This Row],[price]]&lt;600,"Mid-Range",IF(Table1[[#This Row],[price]]&lt;1000,"Premium","Luxury")))</f>
        <v>Premium</v>
      </c>
      <c r="L563" t="str">
        <f>IF(Table1[[#This Row],[units_sold]]&lt;50,"Very Low",IF(Table1[[#This Row],[units_sold]]&lt;150,"Low",IF(Table1[[#This Row],[units_sold]]&lt;300,"Medium","High")))</f>
        <v>Medium</v>
      </c>
      <c r="M563" t="str">
        <f t="shared" si="17"/>
        <v>Normal</v>
      </c>
      <c r="N563">
        <f>(Table1[[#This Row],[price]]*0.7)</f>
        <v>639.25400000000002</v>
      </c>
    </row>
    <row r="564" spans="1:14" x14ac:dyDescent="0.35">
      <c r="A564" t="str">
        <f t="shared" si="16"/>
        <v>P563</v>
      </c>
      <c r="B564" t="s">
        <v>13</v>
      </c>
      <c r="C564" t="s">
        <v>9</v>
      </c>
      <c r="D564">
        <v>900.61</v>
      </c>
      <c r="E564">
        <v>387</v>
      </c>
      <c r="F564">
        <v>2.7</v>
      </c>
      <c r="G564" t="b">
        <v>0</v>
      </c>
      <c r="H564">
        <f>(Table1[[#This Row],[price]]*Table1[[#This Row],[units_sold]])</f>
        <v>348536.07</v>
      </c>
      <c r="I564" t="str">
        <f>IF(Table1[[#This Row],[in_stock]]=TRUE,"Available","Out of stock")</f>
        <v>Out of stock</v>
      </c>
      <c r="J564" t="str">
        <f>IF(Table1[[#This Row],[rating]]&gt;=4,"High",IF(Table1[[#This Row],[rating]]&gt;=2.5,"Medium","Low"))</f>
        <v>Medium</v>
      </c>
      <c r="K564" t="str">
        <f>IF(Table1[[#This Row],[price]]&lt;200,"Budget",IF(Table1[[#This Row],[price]]&lt;600,"Mid-Range",IF(Table1[[#This Row],[price]]&lt;1000,"Premium","Luxury")))</f>
        <v>Premium</v>
      </c>
      <c r="L564" t="str">
        <f>IF(Table1[[#This Row],[units_sold]]&lt;50,"Very Low",IF(Table1[[#This Row],[units_sold]]&lt;150,"Low",IF(Table1[[#This Row],[units_sold]]&lt;300,"Medium","High")))</f>
        <v>High</v>
      </c>
      <c r="M564" t="str">
        <f t="shared" si="17"/>
        <v>High Demand - Out of Stock</v>
      </c>
      <c r="N564">
        <f>(Table1[[#This Row],[price]]*0.7)</f>
        <v>630.42700000000002</v>
      </c>
    </row>
    <row r="565" spans="1:14" x14ac:dyDescent="0.35">
      <c r="A565" t="str">
        <f t="shared" si="16"/>
        <v>P564</v>
      </c>
      <c r="B565" t="s">
        <v>15</v>
      </c>
      <c r="C565" t="s">
        <v>7</v>
      </c>
      <c r="D565">
        <v>1191.5</v>
      </c>
      <c r="E565">
        <v>456</v>
      </c>
      <c r="F565">
        <v>4.0999999999999996</v>
      </c>
      <c r="G565" t="b">
        <v>1</v>
      </c>
      <c r="H565">
        <f>(Table1[[#This Row],[price]]*Table1[[#This Row],[units_sold]])</f>
        <v>543324</v>
      </c>
      <c r="I565" t="str">
        <f>IF(Table1[[#This Row],[in_stock]]=TRUE,"Available","Out of stock")</f>
        <v>Available</v>
      </c>
      <c r="J565" t="str">
        <f>IF(Table1[[#This Row],[rating]]&gt;=4,"High",IF(Table1[[#This Row],[rating]]&gt;=2.5,"Medium","Low"))</f>
        <v>High</v>
      </c>
      <c r="K565" t="str">
        <f>IF(Table1[[#This Row],[price]]&lt;200,"Budget",IF(Table1[[#This Row],[price]]&lt;600,"Mid-Range",IF(Table1[[#This Row],[price]]&lt;1000,"Premium","Luxury")))</f>
        <v>Luxury</v>
      </c>
      <c r="L565" t="str">
        <f>IF(Table1[[#This Row],[units_sold]]&lt;50,"Very Low",IF(Table1[[#This Row],[units_sold]]&lt;150,"Low",IF(Table1[[#This Row],[units_sold]]&lt;300,"Medium","High")))</f>
        <v>High</v>
      </c>
      <c r="M565" t="str">
        <f t="shared" si="17"/>
        <v>Normal</v>
      </c>
      <c r="N565">
        <f>(Table1[[#This Row],[price]]*0.7)</f>
        <v>834.05</v>
      </c>
    </row>
    <row r="566" spans="1:14" x14ac:dyDescent="0.35">
      <c r="A566" t="str">
        <f t="shared" si="16"/>
        <v>P565</v>
      </c>
      <c r="B566" t="s">
        <v>14</v>
      </c>
      <c r="C566" t="s">
        <v>9</v>
      </c>
      <c r="D566">
        <v>985.96</v>
      </c>
      <c r="E566">
        <v>44</v>
      </c>
      <c r="F566">
        <v>2.9</v>
      </c>
      <c r="G566" t="b">
        <v>1</v>
      </c>
      <c r="H566">
        <f>(Table1[[#This Row],[price]]*Table1[[#This Row],[units_sold]])</f>
        <v>43382.240000000005</v>
      </c>
      <c r="I566" t="str">
        <f>IF(Table1[[#This Row],[in_stock]]=TRUE,"Available","Out of stock")</f>
        <v>Available</v>
      </c>
      <c r="J566" t="str">
        <f>IF(Table1[[#This Row],[rating]]&gt;=4,"High",IF(Table1[[#This Row],[rating]]&gt;=2.5,"Medium","Low"))</f>
        <v>Medium</v>
      </c>
      <c r="K566" t="str">
        <f>IF(Table1[[#This Row],[price]]&lt;200,"Budget",IF(Table1[[#This Row],[price]]&lt;600,"Mid-Range",IF(Table1[[#This Row],[price]]&lt;1000,"Premium","Luxury")))</f>
        <v>Premium</v>
      </c>
      <c r="L566" t="str">
        <f>IF(Table1[[#This Row],[units_sold]]&lt;50,"Very Low",IF(Table1[[#This Row],[units_sold]]&lt;150,"Low",IF(Table1[[#This Row],[units_sold]]&lt;300,"Medium","High")))</f>
        <v>Very Low</v>
      </c>
      <c r="M566" t="str">
        <f t="shared" si="17"/>
        <v>Normal</v>
      </c>
      <c r="N566">
        <f>(Table1[[#This Row],[price]]*0.7)</f>
        <v>690.17200000000003</v>
      </c>
    </row>
    <row r="567" spans="1:14" x14ac:dyDescent="0.35">
      <c r="A567" t="str">
        <f t="shared" si="16"/>
        <v>P566</v>
      </c>
      <c r="B567" t="s">
        <v>10</v>
      </c>
      <c r="C567" t="s">
        <v>9</v>
      </c>
      <c r="D567">
        <v>1488.28</v>
      </c>
      <c r="E567">
        <v>97</v>
      </c>
      <c r="F567">
        <v>3</v>
      </c>
      <c r="G567" t="b">
        <v>1</v>
      </c>
      <c r="H567">
        <f>(Table1[[#This Row],[price]]*Table1[[#This Row],[units_sold]])</f>
        <v>144363.16</v>
      </c>
      <c r="I567" t="str">
        <f>IF(Table1[[#This Row],[in_stock]]=TRUE,"Available","Out of stock")</f>
        <v>Available</v>
      </c>
      <c r="J567" t="str">
        <f>IF(Table1[[#This Row],[rating]]&gt;=4,"High",IF(Table1[[#This Row],[rating]]&gt;=2.5,"Medium","Low"))</f>
        <v>Medium</v>
      </c>
      <c r="K567" t="str">
        <f>IF(Table1[[#This Row],[price]]&lt;200,"Budget",IF(Table1[[#This Row],[price]]&lt;600,"Mid-Range",IF(Table1[[#This Row],[price]]&lt;1000,"Premium","Luxury")))</f>
        <v>Luxury</v>
      </c>
      <c r="L567" t="str">
        <f>IF(Table1[[#This Row],[units_sold]]&lt;50,"Very Low",IF(Table1[[#This Row],[units_sold]]&lt;150,"Low",IF(Table1[[#This Row],[units_sold]]&lt;300,"Medium","High")))</f>
        <v>Low</v>
      </c>
      <c r="M567" t="str">
        <f t="shared" si="17"/>
        <v>Normal</v>
      </c>
      <c r="N567">
        <f>(Table1[[#This Row],[price]]*0.7)</f>
        <v>1041.7959999999998</v>
      </c>
    </row>
    <row r="568" spans="1:14" x14ac:dyDescent="0.35">
      <c r="A568" t="str">
        <f t="shared" si="16"/>
        <v>P567</v>
      </c>
      <c r="B568" t="s">
        <v>10</v>
      </c>
      <c r="C568" t="s">
        <v>9</v>
      </c>
      <c r="D568">
        <v>432.94</v>
      </c>
      <c r="E568">
        <v>42</v>
      </c>
      <c r="F568">
        <v>1.8</v>
      </c>
      <c r="G568" t="b">
        <v>0</v>
      </c>
      <c r="H568">
        <f>(Table1[[#This Row],[price]]*Table1[[#This Row],[units_sold]])</f>
        <v>18183.48</v>
      </c>
      <c r="I568" t="str">
        <f>IF(Table1[[#This Row],[in_stock]]=TRUE,"Available","Out of stock")</f>
        <v>Out of stock</v>
      </c>
      <c r="J568" t="str">
        <f>IF(Table1[[#This Row],[rating]]&gt;=4,"High",IF(Table1[[#This Row],[rating]]&gt;=2.5,"Medium","Low"))</f>
        <v>Low</v>
      </c>
      <c r="K568" t="str">
        <f>IF(Table1[[#This Row],[price]]&lt;200,"Budget",IF(Table1[[#This Row],[price]]&lt;600,"Mid-Range",IF(Table1[[#This Row],[price]]&lt;1000,"Premium","Luxury")))</f>
        <v>Mid-Range</v>
      </c>
      <c r="L568" t="str">
        <f>IF(Table1[[#This Row],[units_sold]]&lt;50,"Very Low",IF(Table1[[#This Row],[units_sold]]&lt;150,"Low",IF(Table1[[#This Row],[units_sold]]&lt;300,"Medium","High")))</f>
        <v>Very Low</v>
      </c>
      <c r="M568" t="str">
        <f t="shared" si="17"/>
        <v>Normal</v>
      </c>
      <c r="N568">
        <f>(Table1[[#This Row],[price]]*0.7)</f>
        <v>303.05799999999999</v>
      </c>
    </row>
    <row r="569" spans="1:14" x14ac:dyDescent="0.35">
      <c r="A569" t="str">
        <f t="shared" si="16"/>
        <v>P568</v>
      </c>
      <c r="B569" t="s">
        <v>13</v>
      </c>
      <c r="C569" t="s">
        <v>9</v>
      </c>
      <c r="D569">
        <v>545.14</v>
      </c>
      <c r="E569">
        <v>227</v>
      </c>
      <c r="F569">
        <v>3.4</v>
      </c>
      <c r="G569" t="b">
        <v>1</v>
      </c>
      <c r="H569">
        <f>(Table1[[#This Row],[price]]*Table1[[#This Row],[units_sold]])</f>
        <v>123746.78</v>
      </c>
      <c r="I569" t="str">
        <f>IF(Table1[[#This Row],[in_stock]]=TRUE,"Available","Out of stock")</f>
        <v>Available</v>
      </c>
      <c r="J569" t="str">
        <f>IF(Table1[[#This Row],[rating]]&gt;=4,"High",IF(Table1[[#This Row],[rating]]&gt;=2.5,"Medium","Low"))</f>
        <v>Medium</v>
      </c>
      <c r="K569" t="str">
        <f>IF(Table1[[#This Row],[price]]&lt;200,"Budget",IF(Table1[[#This Row],[price]]&lt;600,"Mid-Range",IF(Table1[[#This Row],[price]]&lt;1000,"Premium","Luxury")))</f>
        <v>Mid-Range</v>
      </c>
      <c r="L569" t="str">
        <f>IF(Table1[[#This Row],[units_sold]]&lt;50,"Very Low",IF(Table1[[#This Row],[units_sold]]&lt;150,"Low",IF(Table1[[#This Row],[units_sold]]&lt;300,"Medium","High")))</f>
        <v>Medium</v>
      </c>
      <c r="M569" t="str">
        <f t="shared" si="17"/>
        <v>Normal</v>
      </c>
      <c r="N569">
        <f>(Table1[[#This Row],[price]]*0.7)</f>
        <v>381.59799999999996</v>
      </c>
    </row>
    <row r="570" spans="1:14" x14ac:dyDescent="0.35">
      <c r="A570" t="str">
        <f t="shared" si="16"/>
        <v>P569</v>
      </c>
      <c r="B570" t="s">
        <v>14</v>
      </c>
      <c r="C570" t="s">
        <v>9</v>
      </c>
      <c r="D570">
        <v>581.92999999999995</v>
      </c>
      <c r="E570">
        <v>262</v>
      </c>
      <c r="F570">
        <v>1.7</v>
      </c>
      <c r="G570" t="b">
        <v>1</v>
      </c>
      <c r="H570">
        <f>(Table1[[#This Row],[price]]*Table1[[#This Row],[units_sold]])</f>
        <v>152465.65999999997</v>
      </c>
      <c r="I570" t="str">
        <f>IF(Table1[[#This Row],[in_stock]]=TRUE,"Available","Out of stock")</f>
        <v>Available</v>
      </c>
      <c r="J570" t="str">
        <f>IF(Table1[[#This Row],[rating]]&gt;=4,"High",IF(Table1[[#This Row],[rating]]&gt;=2.5,"Medium","Low"))</f>
        <v>Low</v>
      </c>
      <c r="K570" t="str">
        <f>IF(Table1[[#This Row],[price]]&lt;200,"Budget",IF(Table1[[#This Row],[price]]&lt;600,"Mid-Range",IF(Table1[[#This Row],[price]]&lt;1000,"Premium","Luxury")))</f>
        <v>Mid-Range</v>
      </c>
      <c r="L570" t="str">
        <f>IF(Table1[[#This Row],[units_sold]]&lt;50,"Very Low",IF(Table1[[#This Row],[units_sold]]&lt;150,"Low",IF(Table1[[#This Row],[units_sold]]&lt;300,"Medium","High")))</f>
        <v>Medium</v>
      </c>
      <c r="M570" t="str">
        <f t="shared" si="17"/>
        <v>Normal</v>
      </c>
      <c r="N570">
        <f>(Table1[[#This Row],[price]]*0.7)</f>
        <v>407.35099999999994</v>
      </c>
    </row>
    <row r="571" spans="1:14" x14ac:dyDescent="0.35">
      <c r="A571" t="str">
        <f t="shared" si="16"/>
        <v>P570</v>
      </c>
      <c r="B571" t="s">
        <v>13</v>
      </c>
      <c r="C571" t="s">
        <v>9</v>
      </c>
      <c r="D571">
        <v>704.06</v>
      </c>
      <c r="E571">
        <v>167</v>
      </c>
      <c r="F571">
        <v>2.2999999999999998</v>
      </c>
      <c r="G571" t="b">
        <v>1</v>
      </c>
      <c r="H571">
        <f>(Table1[[#This Row],[price]]*Table1[[#This Row],[units_sold]])</f>
        <v>117578.01999999999</v>
      </c>
      <c r="I571" t="str">
        <f>IF(Table1[[#This Row],[in_stock]]=TRUE,"Available","Out of stock")</f>
        <v>Available</v>
      </c>
      <c r="J571" t="str">
        <f>IF(Table1[[#This Row],[rating]]&gt;=4,"High",IF(Table1[[#This Row],[rating]]&gt;=2.5,"Medium","Low"))</f>
        <v>Low</v>
      </c>
      <c r="K571" t="str">
        <f>IF(Table1[[#This Row],[price]]&lt;200,"Budget",IF(Table1[[#This Row],[price]]&lt;600,"Mid-Range",IF(Table1[[#This Row],[price]]&lt;1000,"Premium","Luxury")))</f>
        <v>Premium</v>
      </c>
      <c r="L571" t="str">
        <f>IF(Table1[[#This Row],[units_sold]]&lt;50,"Very Low",IF(Table1[[#This Row],[units_sold]]&lt;150,"Low",IF(Table1[[#This Row],[units_sold]]&lt;300,"Medium","High")))</f>
        <v>Medium</v>
      </c>
      <c r="M571" t="str">
        <f t="shared" si="17"/>
        <v>Normal</v>
      </c>
      <c r="N571">
        <f>(Table1[[#This Row],[price]]*0.7)</f>
        <v>492.84199999999993</v>
      </c>
    </row>
    <row r="572" spans="1:14" x14ac:dyDescent="0.35">
      <c r="A572" t="str">
        <f t="shared" si="16"/>
        <v>P571</v>
      </c>
      <c r="B572" t="s">
        <v>11</v>
      </c>
      <c r="C572" t="s">
        <v>9</v>
      </c>
      <c r="D572">
        <v>1255.6400000000001</v>
      </c>
      <c r="E572">
        <v>436</v>
      </c>
      <c r="F572">
        <v>4.4000000000000004</v>
      </c>
      <c r="G572" t="b">
        <v>1</v>
      </c>
      <c r="H572">
        <f>(Table1[[#This Row],[price]]*Table1[[#This Row],[units_sold]])</f>
        <v>547459.04</v>
      </c>
      <c r="I572" t="str">
        <f>IF(Table1[[#This Row],[in_stock]]=TRUE,"Available","Out of stock")</f>
        <v>Available</v>
      </c>
      <c r="J572" t="str">
        <f>IF(Table1[[#This Row],[rating]]&gt;=4,"High",IF(Table1[[#This Row],[rating]]&gt;=2.5,"Medium","Low"))</f>
        <v>High</v>
      </c>
      <c r="K572" t="str">
        <f>IF(Table1[[#This Row],[price]]&lt;200,"Budget",IF(Table1[[#This Row],[price]]&lt;600,"Mid-Range",IF(Table1[[#This Row],[price]]&lt;1000,"Premium","Luxury")))</f>
        <v>Luxury</v>
      </c>
      <c r="L572" t="str">
        <f>IF(Table1[[#This Row],[units_sold]]&lt;50,"Very Low",IF(Table1[[#This Row],[units_sold]]&lt;150,"Low",IF(Table1[[#This Row],[units_sold]]&lt;300,"Medium","High")))</f>
        <v>High</v>
      </c>
      <c r="M572" t="str">
        <f t="shared" si="17"/>
        <v>Normal</v>
      </c>
      <c r="N572">
        <f>(Table1[[#This Row],[price]]*0.7)</f>
        <v>878.94799999999998</v>
      </c>
    </row>
    <row r="573" spans="1:14" x14ac:dyDescent="0.35">
      <c r="A573" t="str">
        <f t="shared" si="16"/>
        <v>P572</v>
      </c>
      <c r="B573" t="s">
        <v>10</v>
      </c>
      <c r="C573" t="s">
        <v>9</v>
      </c>
      <c r="D573">
        <v>361.33</v>
      </c>
      <c r="E573">
        <v>279</v>
      </c>
      <c r="F573">
        <v>1.8</v>
      </c>
      <c r="G573" t="b">
        <v>0</v>
      </c>
      <c r="H573">
        <f>(Table1[[#This Row],[price]]*Table1[[#This Row],[units_sold]])</f>
        <v>100811.06999999999</v>
      </c>
      <c r="I573" t="str">
        <f>IF(Table1[[#This Row],[in_stock]]=TRUE,"Available","Out of stock")</f>
        <v>Out of stock</v>
      </c>
      <c r="J573" t="str">
        <f>IF(Table1[[#This Row],[rating]]&gt;=4,"High",IF(Table1[[#This Row],[rating]]&gt;=2.5,"Medium","Low"))</f>
        <v>Low</v>
      </c>
      <c r="K573" t="str">
        <f>IF(Table1[[#This Row],[price]]&lt;200,"Budget",IF(Table1[[#This Row],[price]]&lt;600,"Mid-Range",IF(Table1[[#This Row],[price]]&lt;1000,"Premium","Luxury")))</f>
        <v>Mid-Range</v>
      </c>
      <c r="L573" t="str">
        <f>IF(Table1[[#This Row],[units_sold]]&lt;50,"Very Low",IF(Table1[[#This Row],[units_sold]]&lt;150,"Low",IF(Table1[[#This Row],[units_sold]]&lt;300,"Medium","High")))</f>
        <v>Medium</v>
      </c>
      <c r="M573" t="str">
        <f t="shared" si="17"/>
        <v>Normal</v>
      </c>
      <c r="N573">
        <f>(Table1[[#This Row],[price]]*0.7)</f>
        <v>252.93099999999998</v>
      </c>
    </row>
    <row r="574" spans="1:14" x14ac:dyDescent="0.35">
      <c r="A574" t="str">
        <f t="shared" si="16"/>
        <v>P573</v>
      </c>
      <c r="B574" t="s">
        <v>17</v>
      </c>
      <c r="C574" t="s">
        <v>7</v>
      </c>
      <c r="D574">
        <v>1166.24</v>
      </c>
      <c r="E574">
        <v>89</v>
      </c>
      <c r="F574">
        <v>1.3</v>
      </c>
      <c r="G574" t="b">
        <v>1</v>
      </c>
      <c r="H574">
        <f>(Table1[[#This Row],[price]]*Table1[[#This Row],[units_sold]])</f>
        <v>103795.36</v>
      </c>
      <c r="I574" t="str">
        <f>IF(Table1[[#This Row],[in_stock]]=TRUE,"Available","Out of stock")</f>
        <v>Available</v>
      </c>
      <c r="J574" t="str">
        <f>IF(Table1[[#This Row],[rating]]&gt;=4,"High",IF(Table1[[#This Row],[rating]]&gt;=2.5,"Medium","Low"))</f>
        <v>Low</v>
      </c>
      <c r="K574" t="str">
        <f>IF(Table1[[#This Row],[price]]&lt;200,"Budget",IF(Table1[[#This Row],[price]]&lt;600,"Mid-Range",IF(Table1[[#This Row],[price]]&lt;1000,"Premium","Luxury")))</f>
        <v>Luxury</v>
      </c>
      <c r="L574" t="str">
        <f>IF(Table1[[#This Row],[units_sold]]&lt;50,"Very Low",IF(Table1[[#This Row],[units_sold]]&lt;150,"Low",IF(Table1[[#This Row],[units_sold]]&lt;300,"Medium","High")))</f>
        <v>Low</v>
      </c>
      <c r="M574" t="str">
        <f t="shared" si="17"/>
        <v>Normal</v>
      </c>
      <c r="N574">
        <f>(Table1[[#This Row],[price]]*0.7)</f>
        <v>816.36799999999994</v>
      </c>
    </row>
    <row r="575" spans="1:14" x14ac:dyDescent="0.35">
      <c r="A575" t="str">
        <f t="shared" si="16"/>
        <v>P574</v>
      </c>
      <c r="B575" t="s">
        <v>6</v>
      </c>
      <c r="C575" t="s">
        <v>7</v>
      </c>
      <c r="D575">
        <v>613.91</v>
      </c>
      <c r="E575">
        <v>379</v>
      </c>
      <c r="F575">
        <v>1.3</v>
      </c>
      <c r="G575" t="b">
        <v>0</v>
      </c>
      <c r="H575">
        <f>(Table1[[#This Row],[price]]*Table1[[#This Row],[units_sold]])</f>
        <v>232671.88999999998</v>
      </c>
      <c r="I575" t="str">
        <f>IF(Table1[[#This Row],[in_stock]]=TRUE,"Available","Out of stock")</f>
        <v>Out of stock</v>
      </c>
      <c r="J575" t="str">
        <f>IF(Table1[[#This Row],[rating]]&gt;=4,"High",IF(Table1[[#This Row],[rating]]&gt;=2.5,"Medium","Low"))</f>
        <v>Low</v>
      </c>
      <c r="K575" t="str">
        <f>IF(Table1[[#This Row],[price]]&lt;200,"Budget",IF(Table1[[#This Row],[price]]&lt;600,"Mid-Range",IF(Table1[[#This Row],[price]]&lt;1000,"Premium","Luxury")))</f>
        <v>Premium</v>
      </c>
      <c r="L575" t="str">
        <f>IF(Table1[[#This Row],[units_sold]]&lt;50,"Very Low",IF(Table1[[#This Row],[units_sold]]&lt;150,"Low",IF(Table1[[#This Row],[units_sold]]&lt;300,"Medium","High")))</f>
        <v>High</v>
      </c>
      <c r="M575" t="str">
        <f t="shared" si="17"/>
        <v>High Demand - Out of Stock</v>
      </c>
      <c r="N575">
        <f>(Table1[[#This Row],[price]]*0.7)</f>
        <v>429.73699999999997</v>
      </c>
    </row>
    <row r="576" spans="1:14" x14ac:dyDescent="0.35">
      <c r="A576" t="str">
        <f t="shared" si="16"/>
        <v>P575</v>
      </c>
      <c r="B576" t="s">
        <v>8</v>
      </c>
      <c r="C576" t="s">
        <v>9</v>
      </c>
      <c r="D576">
        <v>906.76</v>
      </c>
      <c r="E576">
        <v>178</v>
      </c>
      <c r="F576">
        <v>4.8</v>
      </c>
      <c r="G576" t="b">
        <v>0</v>
      </c>
      <c r="H576">
        <f>(Table1[[#This Row],[price]]*Table1[[#This Row],[units_sold]])</f>
        <v>161403.28</v>
      </c>
      <c r="I576" t="str">
        <f>IF(Table1[[#This Row],[in_stock]]=TRUE,"Available","Out of stock")</f>
        <v>Out of stock</v>
      </c>
      <c r="J576" t="str">
        <f>IF(Table1[[#This Row],[rating]]&gt;=4,"High",IF(Table1[[#This Row],[rating]]&gt;=2.5,"Medium","Low"))</f>
        <v>High</v>
      </c>
      <c r="K576" t="str">
        <f>IF(Table1[[#This Row],[price]]&lt;200,"Budget",IF(Table1[[#This Row],[price]]&lt;600,"Mid-Range",IF(Table1[[#This Row],[price]]&lt;1000,"Premium","Luxury")))</f>
        <v>Premium</v>
      </c>
      <c r="L576" t="str">
        <f>IF(Table1[[#This Row],[units_sold]]&lt;50,"Very Low",IF(Table1[[#This Row],[units_sold]]&lt;150,"Low",IF(Table1[[#This Row],[units_sold]]&lt;300,"Medium","High")))</f>
        <v>Medium</v>
      </c>
      <c r="M576" t="str">
        <f t="shared" si="17"/>
        <v>Normal</v>
      </c>
      <c r="N576">
        <f>(Table1[[#This Row],[price]]*0.7)</f>
        <v>634.73199999999997</v>
      </c>
    </row>
    <row r="577" spans="1:14" x14ac:dyDescent="0.35">
      <c r="A577" t="str">
        <f t="shared" si="16"/>
        <v>P576</v>
      </c>
      <c r="B577" t="s">
        <v>14</v>
      </c>
      <c r="C577" t="s">
        <v>9</v>
      </c>
      <c r="D577">
        <v>952.49</v>
      </c>
      <c r="E577">
        <v>427</v>
      </c>
      <c r="F577">
        <v>3</v>
      </c>
      <c r="G577" t="b">
        <v>0</v>
      </c>
      <c r="H577">
        <f>(Table1[[#This Row],[price]]*Table1[[#This Row],[units_sold]])</f>
        <v>406713.23</v>
      </c>
      <c r="I577" t="str">
        <f>IF(Table1[[#This Row],[in_stock]]=TRUE,"Available","Out of stock")</f>
        <v>Out of stock</v>
      </c>
      <c r="J577" t="str">
        <f>IF(Table1[[#This Row],[rating]]&gt;=4,"High",IF(Table1[[#This Row],[rating]]&gt;=2.5,"Medium","Low"))</f>
        <v>Medium</v>
      </c>
      <c r="K577" t="str">
        <f>IF(Table1[[#This Row],[price]]&lt;200,"Budget",IF(Table1[[#This Row],[price]]&lt;600,"Mid-Range",IF(Table1[[#This Row],[price]]&lt;1000,"Premium","Luxury")))</f>
        <v>Premium</v>
      </c>
      <c r="L577" t="str">
        <f>IF(Table1[[#This Row],[units_sold]]&lt;50,"Very Low",IF(Table1[[#This Row],[units_sold]]&lt;150,"Low",IF(Table1[[#This Row],[units_sold]]&lt;300,"Medium","High")))</f>
        <v>High</v>
      </c>
      <c r="M577" t="str">
        <f t="shared" si="17"/>
        <v>High Demand - Out of Stock</v>
      </c>
      <c r="N577">
        <f>(Table1[[#This Row],[price]]*0.7)</f>
        <v>666.74299999999994</v>
      </c>
    </row>
    <row r="578" spans="1:14" x14ac:dyDescent="0.35">
      <c r="A578" t="str">
        <f t="shared" ref="A578:A641" si="18">"P"&amp;TEXT(ROW()-1,"000")</f>
        <v>P577</v>
      </c>
      <c r="B578" t="s">
        <v>16</v>
      </c>
      <c r="C578" t="s">
        <v>9</v>
      </c>
      <c r="D578">
        <v>565.54</v>
      </c>
      <c r="E578">
        <v>403</v>
      </c>
      <c r="F578">
        <v>2.6</v>
      </c>
      <c r="G578" t="b">
        <v>1</v>
      </c>
      <c r="H578">
        <f>(Table1[[#This Row],[price]]*Table1[[#This Row],[units_sold]])</f>
        <v>227912.62</v>
      </c>
      <c r="I578" t="str">
        <f>IF(Table1[[#This Row],[in_stock]]=TRUE,"Available","Out of stock")</f>
        <v>Available</v>
      </c>
      <c r="J578" t="str">
        <f>IF(Table1[[#This Row],[rating]]&gt;=4,"High",IF(Table1[[#This Row],[rating]]&gt;=2.5,"Medium","Low"))</f>
        <v>Medium</v>
      </c>
      <c r="K578" t="str">
        <f>IF(Table1[[#This Row],[price]]&lt;200,"Budget",IF(Table1[[#This Row],[price]]&lt;600,"Mid-Range",IF(Table1[[#This Row],[price]]&lt;1000,"Premium","Luxury")))</f>
        <v>Mid-Range</v>
      </c>
      <c r="L578" t="str">
        <f>IF(Table1[[#This Row],[units_sold]]&lt;50,"Very Low",IF(Table1[[#This Row],[units_sold]]&lt;150,"Low",IF(Table1[[#This Row],[units_sold]]&lt;300,"Medium","High")))</f>
        <v>High</v>
      </c>
      <c r="M578" t="str">
        <f t="shared" ref="M578:M641" si="19">IF(AND(E578&gt;300,G578=FALSE),"High Demand - Out of Stock","Normal")</f>
        <v>Normal</v>
      </c>
      <c r="N578">
        <f>(Table1[[#This Row],[price]]*0.7)</f>
        <v>395.87799999999993</v>
      </c>
    </row>
    <row r="579" spans="1:14" x14ac:dyDescent="0.35">
      <c r="A579" t="str">
        <f t="shared" si="18"/>
        <v>P578</v>
      </c>
      <c r="B579" t="s">
        <v>13</v>
      </c>
      <c r="C579" t="s">
        <v>9</v>
      </c>
      <c r="D579">
        <v>773.8</v>
      </c>
      <c r="E579">
        <v>197</v>
      </c>
      <c r="F579">
        <v>4.2</v>
      </c>
      <c r="G579" t="b">
        <v>1</v>
      </c>
      <c r="H579">
        <f>(Table1[[#This Row],[price]]*Table1[[#This Row],[units_sold]])</f>
        <v>152438.59999999998</v>
      </c>
      <c r="I579" t="str">
        <f>IF(Table1[[#This Row],[in_stock]]=TRUE,"Available","Out of stock")</f>
        <v>Available</v>
      </c>
      <c r="J579" t="str">
        <f>IF(Table1[[#This Row],[rating]]&gt;=4,"High",IF(Table1[[#This Row],[rating]]&gt;=2.5,"Medium","Low"))</f>
        <v>High</v>
      </c>
      <c r="K579" t="str">
        <f>IF(Table1[[#This Row],[price]]&lt;200,"Budget",IF(Table1[[#This Row],[price]]&lt;600,"Mid-Range",IF(Table1[[#This Row],[price]]&lt;1000,"Premium","Luxury")))</f>
        <v>Premium</v>
      </c>
      <c r="L579" t="str">
        <f>IF(Table1[[#This Row],[units_sold]]&lt;50,"Very Low",IF(Table1[[#This Row],[units_sold]]&lt;150,"Low",IF(Table1[[#This Row],[units_sold]]&lt;300,"Medium","High")))</f>
        <v>Medium</v>
      </c>
      <c r="M579" t="str">
        <f t="shared" si="19"/>
        <v>Normal</v>
      </c>
      <c r="N579">
        <f>(Table1[[#This Row],[price]]*0.7)</f>
        <v>541.66</v>
      </c>
    </row>
    <row r="580" spans="1:14" x14ac:dyDescent="0.35">
      <c r="A580" t="str">
        <f t="shared" si="18"/>
        <v>P579</v>
      </c>
      <c r="B580" t="s">
        <v>8</v>
      </c>
      <c r="C580" t="s">
        <v>9</v>
      </c>
      <c r="D580">
        <v>625.41999999999996</v>
      </c>
      <c r="E580">
        <v>307</v>
      </c>
      <c r="F580">
        <v>4.3</v>
      </c>
      <c r="G580" t="b">
        <v>1</v>
      </c>
      <c r="H580">
        <f>(Table1[[#This Row],[price]]*Table1[[#This Row],[units_sold]])</f>
        <v>192003.93999999997</v>
      </c>
      <c r="I580" t="str">
        <f>IF(Table1[[#This Row],[in_stock]]=TRUE,"Available","Out of stock")</f>
        <v>Available</v>
      </c>
      <c r="J580" t="str">
        <f>IF(Table1[[#This Row],[rating]]&gt;=4,"High",IF(Table1[[#This Row],[rating]]&gt;=2.5,"Medium","Low"))</f>
        <v>High</v>
      </c>
      <c r="K580" t="str">
        <f>IF(Table1[[#This Row],[price]]&lt;200,"Budget",IF(Table1[[#This Row],[price]]&lt;600,"Mid-Range",IF(Table1[[#This Row],[price]]&lt;1000,"Premium","Luxury")))</f>
        <v>Premium</v>
      </c>
      <c r="L580" t="str">
        <f>IF(Table1[[#This Row],[units_sold]]&lt;50,"Very Low",IF(Table1[[#This Row],[units_sold]]&lt;150,"Low",IF(Table1[[#This Row],[units_sold]]&lt;300,"Medium","High")))</f>
        <v>High</v>
      </c>
      <c r="M580" t="str">
        <f t="shared" si="19"/>
        <v>Normal</v>
      </c>
      <c r="N580">
        <f>(Table1[[#This Row],[price]]*0.7)</f>
        <v>437.79399999999993</v>
      </c>
    </row>
    <row r="581" spans="1:14" x14ac:dyDescent="0.35">
      <c r="A581" t="str">
        <f t="shared" si="18"/>
        <v>P580</v>
      </c>
      <c r="B581" t="s">
        <v>16</v>
      </c>
      <c r="C581" t="s">
        <v>9</v>
      </c>
      <c r="D581">
        <v>113.01</v>
      </c>
      <c r="E581">
        <v>267</v>
      </c>
      <c r="F581">
        <v>2.2999999999999998</v>
      </c>
      <c r="G581" t="b">
        <v>1</v>
      </c>
      <c r="H581">
        <f>(Table1[[#This Row],[price]]*Table1[[#This Row],[units_sold]])</f>
        <v>30173.670000000002</v>
      </c>
      <c r="I581" t="str">
        <f>IF(Table1[[#This Row],[in_stock]]=TRUE,"Available","Out of stock")</f>
        <v>Available</v>
      </c>
      <c r="J581" t="str">
        <f>IF(Table1[[#This Row],[rating]]&gt;=4,"High",IF(Table1[[#This Row],[rating]]&gt;=2.5,"Medium","Low"))</f>
        <v>Low</v>
      </c>
      <c r="K581" t="str">
        <f>IF(Table1[[#This Row],[price]]&lt;200,"Budget",IF(Table1[[#This Row],[price]]&lt;600,"Mid-Range",IF(Table1[[#This Row],[price]]&lt;1000,"Premium","Luxury")))</f>
        <v>Budget</v>
      </c>
      <c r="L581" t="str">
        <f>IF(Table1[[#This Row],[units_sold]]&lt;50,"Very Low",IF(Table1[[#This Row],[units_sold]]&lt;150,"Low",IF(Table1[[#This Row],[units_sold]]&lt;300,"Medium","High")))</f>
        <v>Medium</v>
      </c>
      <c r="M581" t="str">
        <f t="shared" si="19"/>
        <v>Normal</v>
      </c>
      <c r="N581">
        <f>(Table1[[#This Row],[price]]*0.7)</f>
        <v>79.106999999999999</v>
      </c>
    </row>
    <row r="582" spans="1:14" x14ac:dyDescent="0.35">
      <c r="A582" t="str">
        <f t="shared" si="18"/>
        <v>P581</v>
      </c>
      <c r="B582" t="s">
        <v>8</v>
      </c>
      <c r="C582" t="s">
        <v>9</v>
      </c>
      <c r="D582">
        <v>661.38</v>
      </c>
      <c r="E582">
        <v>268</v>
      </c>
      <c r="F582">
        <v>3.8</v>
      </c>
      <c r="G582" t="b">
        <v>1</v>
      </c>
      <c r="H582">
        <f>(Table1[[#This Row],[price]]*Table1[[#This Row],[units_sold]])</f>
        <v>177249.84</v>
      </c>
      <c r="I582" t="str">
        <f>IF(Table1[[#This Row],[in_stock]]=TRUE,"Available","Out of stock")</f>
        <v>Available</v>
      </c>
      <c r="J582" t="str">
        <f>IF(Table1[[#This Row],[rating]]&gt;=4,"High",IF(Table1[[#This Row],[rating]]&gt;=2.5,"Medium","Low"))</f>
        <v>Medium</v>
      </c>
      <c r="K582" t="str">
        <f>IF(Table1[[#This Row],[price]]&lt;200,"Budget",IF(Table1[[#This Row],[price]]&lt;600,"Mid-Range",IF(Table1[[#This Row],[price]]&lt;1000,"Premium","Luxury")))</f>
        <v>Premium</v>
      </c>
      <c r="L582" t="str">
        <f>IF(Table1[[#This Row],[units_sold]]&lt;50,"Very Low",IF(Table1[[#This Row],[units_sold]]&lt;150,"Low",IF(Table1[[#This Row],[units_sold]]&lt;300,"Medium","High")))</f>
        <v>Medium</v>
      </c>
      <c r="M582" t="str">
        <f t="shared" si="19"/>
        <v>Normal</v>
      </c>
      <c r="N582">
        <f>(Table1[[#This Row],[price]]*0.7)</f>
        <v>462.96599999999995</v>
      </c>
    </row>
    <row r="583" spans="1:14" x14ac:dyDescent="0.35">
      <c r="A583" t="str">
        <f t="shared" si="18"/>
        <v>P582</v>
      </c>
      <c r="B583" t="s">
        <v>6</v>
      </c>
      <c r="C583" t="s">
        <v>7</v>
      </c>
      <c r="D583">
        <v>155.12</v>
      </c>
      <c r="E583">
        <v>74</v>
      </c>
      <c r="F583">
        <v>4.0999999999999996</v>
      </c>
      <c r="G583" t="b">
        <v>1</v>
      </c>
      <c r="H583">
        <f>(Table1[[#This Row],[price]]*Table1[[#This Row],[units_sold]])</f>
        <v>11478.880000000001</v>
      </c>
      <c r="I583" t="str">
        <f>IF(Table1[[#This Row],[in_stock]]=TRUE,"Available","Out of stock")</f>
        <v>Available</v>
      </c>
      <c r="J583" t="str">
        <f>IF(Table1[[#This Row],[rating]]&gt;=4,"High",IF(Table1[[#This Row],[rating]]&gt;=2.5,"Medium","Low"))</f>
        <v>High</v>
      </c>
      <c r="K583" t="str">
        <f>IF(Table1[[#This Row],[price]]&lt;200,"Budget",IF(Table1[[#This Row],[price]]&lt;600,"Mid-Range",IF(Table1[[#This Row],[price]]&lt;1000,"Premium","Luxury")))</f>
        <v>Budget</v>
      </c>
      <c r="L583" t="str">
        <f>IF(Table1[[#This Row],[units_sold]]&lt;50,"Very Low",IF(Table1[[#This Row],[units_sold]]&lt;150,"Low",IF(Table1[[#This Row],[units_sold]]&lt;300,"Medium","High")))</f>
        <v>Low</v>
      </c>
      <c r="M583" t="str">
        <f t="shared" si="19"/>
        <v>Normal</v>
      </c>
      <c r="N583">
        <f>(Table1[[#This Row],[price]]*0.7)</f>
        <v>108.584</v>
      </c>
    </row>
    <row r="584" spans="1:14" x14ac:dyDescent="0.35">
      <c r="A584" t="str">
        <f t="shared" si="18"/>
        <v>P583</v>
      </c>
      <c r="B584" t="s">
        <v>16</v>
      </c>
      <c r="C584" t="s">
        <v>9</v>
      </c>
      <c r="D584">
        <v>613.48</v>
      </c>
      <c r="E584">
        <v>8</v>
      </c>
      <c r="F584">
        <v>3.6</v>
      </c>
      <c r="G584" t="b">
        <v>1</v>
      </c>
      <c r="H584">
        <f>(Table1[[#This Row],[price]]*Table1[[#This Row],[units_sold]])</f>
        <v>4907.84</v>
      </c>
      <c r="I584" t="str">
        <f>IF(Table1[[#This Row],[in_stock]]=TRUE,"Available","Out of stock")</f>
        <v>Available</v>
      </c>
      <c r="J584" t="str">
        <f>IF(Table1[[#This Row],[rating]]&gt;=4,"High",IF(Table1[[#This Row],[rating]]&gt;=2.5,"Medium","Low"))</f>
        <v>Medium</v>
      </c>
      <c r="K584" t="str">
        <f>IF(Table1[[#This Row],[price]]&lt;200,"Budget",IF(Table1[[#This Row],[price]]&lt;600,"Mid-Range",IF(Table1[[#This Row],[price]]&lt;1000,"Premium","Luxury")))</f>
        <v>Premium</v>
      </c>
      <c r="L584" t="str">
        <f>IF(Table1[[#This Row],[units_sold]]&lt;50,"Very Low",IF(Table1[[#This Row],[units_sold]]&lt;150,"Low",IF(Table1[[#This Row],[units_sold]]&lt;300,"Medium","High")))</f>
        <v>Very Low</v>
      </c>
      <c r="M584" t="str">
        <f t="shared" si="19"/>
        <v>Normal</v>
      </c>
      <c r="N584">
        <f>(Table1[[#This Row],[price]]*0.7)</f>
        <v>429.43599999999998</v>
      </c>
    </row>
    <row r="585" spans="1:14" x14ac:dyDescent="0.35">
      <c r="A585" t="str">
        <f t="shared" si="18"/>
        <v>P584</v>
      </c>
      <c r="B585" t="s">
        <v>15</v>
      </c>
      <c r="C585" t="s">
        <v>7</v>
      </c>
      <c r="D585">
        <v>893.45</v>
      </c>
      <c r="E585">
        <v>408</v>
      </c>
      <c r="F585">
        <v>1.6</v>
      </c>
      <c r="G585" t="b">
        <v>1</v>
      </c>
      <c r="H585">
        <f>(Table1[[#This Row],[price]]*Table1[[#This Row],[units_sold]])</f>
        <v>364527.60000000003</v>
      </c>
      <c r="I585" t="str">
        <f>IF(Table1[[#This Row],[in_stock]]=TRUE,"Available","Out of stock")</f>
        <v>Available</v>
      </c>
      <c r="J585" t="str">
        <f>IF(Table1[[#This Row],[rating]]&gt;=4,"High",IF(Table1[[#This Row],[rating]]&gt;=2.5,"Medium","Low"))</f>
        <v>Low</v>
      </c>
      <c r="K585" t="str">
        <f>IF(Table1[[#This Row],[price]]&lt;200,"Budget",IF(Table1[[#This Row],[price]]&lt;600,"Mid-Range",IF(Table1[[#This Row],[price]]&lt;1000,"Premium","Luxury")))</f>
        <v>Premium</v>
      </c>
      <c r="L585" t="str">
        <f>IF(Table1[[#This Row],[units_sold]]&lt;50,"Very Low",IF(Table1[[#This Row],[units_sold]]&lt;150,"Low",IF(Table1[[#This Row],[units_sold]]&lt;300,"Medium","High")))</f>
        <v>High</v>
      </c>
      <c r="M585" t="str">
        <f t="shared" si="19"/>
        <v>Normal</v>
      </c>
      <c r="N585">
        <f>(Table1[[#This Row],[price]]*0.7)</f>
        <v>625.41499999999996</v>
      </c>
    </row>
    <row r="586" spans="1:14" x14ac:dyDescent="0.35">
      <c r="A586" t="str">
        <f t="shared" si="18"/>
        <v>P585</v>
      </c>
      <c r="B586" t="s">
        <v>12</v>
      </c>
      <c r="C586" t="s">
        <v>7</v>
      </c>
      <c r="D586">
        <v>873.33</v>
      </c>
      <c r="E586">
        <v>476</v>
      </c>
      <c r="F586">
        <v>4.5</v>
      </c>
      <c r="G586" t="b">
        <v>0</v>
      </c>
      <c r="H586">
        <f>(Table1[[#This Row],[price]]*Table1[[#This Row],[units_sold]])</f>
        <v>415705.08</v>
      </c>
      <c r="I586" t="str">
        <f>IF(Table1[[#This Row],[in_stock]]=TRUE,"Available","Out of stock")</f>
        <v>Out of stock</v>
      </c>
      <c r="J586" t="str">
        <f>IF(Table1[[#This Row],[rating]]&gt;=4,"High",IF(Table1[[#This Row],[rating]]&gt;=2.5,"Medium","Low"))</f>
        <v>High</v>
      </c>
      <c r="K586" t="str">
        <f>IF(Table1[[#This Row],[price]]&lt;200,"Budget",IF(Table1[[#This Row],[price]]&lt;600,"Mid-Range",IF(Table1[[#This Row],[price]]&lt;1000,"Premium","Luxury")))</f>
        <v>Premium</v>
      </c>
      <c r="L586" t="str">
        <f>IF(Table1[[#This Row],[units_sold]]&lt;50,"Very Low",IF(Table1[[#This Row],[units_sold]]&lt;150,"Low",IF(Table1[[#This Row],[units_sold]]&lt;300,"Medium","High")))</f>
        <v>High</v>
      </c>
      <c r="M586" t="str">
        <f t="shared" si="19"/>
        <v>High Demand - Out of Stock</v>
      </c>
      <c r="N586">
        <f>(Table1[[#This Row],[price]]*0.7)</f>
        <v>611.33100000000002</v>
      </c>
    </row>
    <row r="587" spans="1:14" x14ac:dyDescent="0.35">
      <c r="A587" t="str">
        <f t="shared" si="18"/>
        <v>P586</v>
      </c>
      <c r="B587" t="s">
        <v>15</v>
      </c>
      <c r="C587" t="s">
        <v>7</v>
      </c>
      <c r="D587">
        <v>997.31</v>
      </c>
      <c r="E587">
        <v>297</v>
      </c>
      <c r="F587">
        <v>3.2</v>
      </c>
      <c r="G587" t="b">
        <v>1</v>
      </c>
      <c r="H587">
        <f>(Table1[[#This Row],[price]]*Table1[[#This Row],[units_sold]])</f>
        <v>296201.07</v>
      </c>
      <c r="I587" t="str">
        <f>IF(Table1[[#This Row],[in_stock]]=TRUE,"Available","Out of stock")</f>
        <v>Available</v>
      </c>
      <c r="J587" t="str">
        <f>IF(Table1[[#This Row],[rating]]&gt;=4,"High",IF(Table1[[#This Row],[rating]]&gt;=2.5,"Medium","Low"))</f>
        <v>Medium</v>
      </c>
      <c r="K587" t="str">
        <f>IF(Table1[[#This Row],[price]]&lt;200,"Budget",IF(Table1[[#This Row],[price]]&lt;600,"Mid-Range",IF(Table1[[#This Row],[price]]&lt;1000,"Premium","Luxury")))</f>
        <v>Premium</v>
      </c>
      <c r="L587" t="str">
        <f>IF(Table1[[#This Row],[units_sold]]&lt;50,"Very Low",IF(Table1[[#This Row],[units_sold]]&lt;150,"Low",IF(Table1[[#This Row],[units_sold]]&lt;300,"Medium","High")))</f>
        <v>Medium</v>
      </c>
      <c r="M587" t="str">
        <f t="shared" si="19"/>
        <v>Normal</v>
      </c>
      <c r="N587">
        <f>(Table1[[#This Row],[price]]*0.7)</f>
        <v>698.11699999999996</v>
      </c>
    </row>
    <row r="588" spans="1:14" x14ac:dyDescent="0.35">
      <c r="A588" t="str">
        <f t="shared" si="18"/>
        <v>P587</v>
      </c>
      <c r="B588" t="s">
        <v>10</v>
      </c>
      <c r="C588" t="s">
        <v>9</v>
      </c>
      <c r="D588">
        <v>151.94</v>
      </c>
      <c r="E588">
        <v>164</v>
      </c>
      <c r="F588">
        <v>2.1</v>
      </c>
      <c r="G588" t="b">
        <v>0</v>
      </c>
      <c r="H588">
        <f>(Table1[[#This Row],[price]]*Table1[[#This Row],[units_sold]])</f>
        <v>24918.16</v>
      </c>
      <c r="I588" t="str">
        <f>IF(Table1[[#This Row],[in_stock]]=TRUE,"Available","Out of stock")</f>
        <v>Out of stock</v>
      </c>
      <c r="J588" t="str">
        <f>IF(Table1[[#This Row],[rating]]&gt;=4,"High",IF(Table1[[#This Row],[rating]]&gt;=2.5,"Medium","Low"))</f>
        <v>Low</v>
      </c>
      <c r="K588" t="str">
        <f>IF(Table1[[#This Row],[price]]&lt;200,"Budget",IF(Table1[[#This Row],[price]]&lt;600,"Mid-Range",IF(Table1[[#This Row],[price]]&lt;1000,"Premium","Luxury")))</f>
        <v>Budget</v>
      </c>
      <c r="L588" t="str">
        <f>IF(Table1[[#This Row],[units_sold]]&lt;50,"Very Low",IF(Table1[[#This Row],[units_sold]]&lt;150,"Low",IF(Table1[[#This Row],[units_sold]]&lt;300,"Medium","High")))</f>
        <v>Medium</v>
      </c>
      <c r="M588" t="str">
        <f t="shared" si="19"/>
        <v>Normal</v>
      </c>
      <c r="N588">
        <f>(Table1[[#This Row],[price]]*0.7)</f>
        <v>106.35799999999999</v>
      </c>
    </row>
    <row r="589" spans="1:14" x14ac:dyDescent="0.35">
      <c r="A589" t="str">
        <f t="shared" si="18"/>
        <v>P588</v>
      </c>
      <c r="B589" t="s">
        <v>12</v>
      </c>
      <c r="C589" t="s">
        <v>7</v>
      </c>
      <c r="D589">
        <v>981.66</v>
      </c>
      <c r="E589">
        <v>485</v>
      </c>
      <c r="F589">
        <v>2.7</v>
      </c>
      <c r="G589" t="b">
        <v>1</v>
      </c>
      <c r="H589">
        <f>(Table1[[#This Row],[price]]*Table1[[#This Row],[units_sold]])</f>
        <v>476105.1</v>
      </c>
      <c r="I589" t="str">
        <f>IF(Table1[[#This Row],[in_stock]]=TRUE,"Available","Out of stock")</f>
        <v>Available</v>
      </c>
      <c r="J589" t="str">
        <f>IF(Table1[[#This Row],[rating]]&gt;=4,"High",IF(Table1[[#This Row],[rating]]&gt;=2.5,"Medium","Low"))</f>
        <v>Medium</v>
      </c>
      <c r="K589" t="str">
        <f>IF(Table1[[#This Row],[price]]&lt;200,"Budget",IF(Table1[[#This Row],[price]]&lt;600,"Mid-Range",IF(Table1[[#This Row],[price]]&lt;1000,"Premium","Luxury")))</f>
        <v>Premium</v>
      </c>
      <c r="L589" t="str">
        <f>IF(Table1[[#This Row],[units_sold]]&lt;50,"Very Low",IF(Table1[[#This Row],[units_sold]]&lt;150,"Low",IF(Table1[[#This Row],[units_sold]]&lt;300,"Medium","High")))</f>
        <v>High</v>
      </c>
      <c r="M589" t="str">
        <f t="shared" si="19"/>
        <v>Normal</v>
      </c>
      <c r="N589">
        <f>(Table1[[#This Row],[price]]*0.7)</f>
        <v>687.16199999999992</v>
      </c>
    </row>
    <row r="590" spans="1:14" x14ac:dyDescent="0.35">
      <c r="A590" t="str">
        <f t="shared" si="18"/>
        <v>P589</v>
      </c>
      <c r="B590" t="s">
        <v>15</v>
      </c>
      <c r="C590" t="s">
        <v>7</v>
      </c>
      <c r="D590">
        <v>475.1</v>
      </c>
      <c r="E590">
        <v>85</v>
      </c>
      <c r="F590">
        <v>1.2</v>
      </c>
      <c r="G590" t="b">
        <v>0</v>
      </c>
      <c r="H590">
        <f>(Table1[[#This Row],[price]]*Table1[[#This Row],[units_sold]])</f>
        <v>40383.5</v>
      </c>
      <c r="I590" t="str">
        <f>IF(Table1[[#This Row],[in_stock]]=TRUE,"Available","Out of stock")</f>
        <v>Out of stock</v>
      </c>
      <c r="J590" t="str">
        <f>IF(Table1[[#This Row],[rating]]&gt;=4,"High",IF(Table1[[#This Row],[rating]]&gt;=2.5,"Medium","Low"))</f>
        <v>Low</v>
      </c>
      <c r="K590" t="str">
        <f>IF(Table1[[#This Row],[price]]&lt;200,"Budget",IF(Table1[[#This Row],[price]]&lt;600,"Mid-Range",IF(Table1[[#This Row],[price]]&lt;1000,"Premium","Luxury")))</f>
        <v>Mid-Range</v>
      </c>
      <c r="L590" t="str">
        <f>IF(Table1[[#This Row],[units_sold]]&lt;50,"Very Low",IF(Table1[[#This Row],[units_sold]]&lt;150,"Low",IF(Table1[[#This Row],[units_sold]]&lt;300,"Medium","High")))</f>
        <v>Low</v>
      </c>
      <c r="M590" t="str">
        <f t="shared" si="19"/>
        <v>Normal</v>
      </c>
      <c r="N590">
        <f>(Table1[[#This Row],[price]]*0.7)</f>
        <v>332.57</v>
      </c>
    </row>
    <row r="591" spans="1:14" x14ac:dyDescent="0.35">
      <c r="A591" t="str">
        <f t="shared" si="18"/>
        <v>P590</v>
      </c>
      <c r="B591" t="s">
        <v>12</v>
      </c>
      <c r="C591" t="s">
        <v>7</v>
      </c>
      <c r="D591">
        <v>604.58000000000004</v>
      </c>
      <c r="E591">
        <v>72</v>
      </c>
      <c r="F591">
        <v>1.5</v>
      </c>
      <c r="G591" t="b">
        <v>1</v>
      </c>
      <c r="H591">
        <f>(Table1[[#This Row],[price]]*Table1[[#This Row],[units_sold]])</f>
        <v>43529.760000000002</v>
      </c>
      <c r="I591" t="str">
        <f>IF(Table1[[#This Row],[in_stock]]=TRUE,"Available","Out of stock")</f>
        <v>Available</v>
      </c>
      <c r="J591" t="str">
        <f>IF(Table1[[#This Row],[rating]]&gt;=4,"High",IF(Table1[[#This Row],[rating]]&gt;=2.5,"Medium","Low"))</f>
        <v>Low</v>
      </c>
      <c r="K591" t="str">
        <f>IF(Table1[[#This Row],[price]]&lt;200,"Budget",IF(Table1[[#This Row],[price]]&lt;600,"Mid-Range",IF(Table1[[#This Row],[price]]&lt;1000,"Premium","Luxury")))</f>
        <v>Premium</v>
      </c>
      <c r="L591" t="str">
        <f>IF(Table1[[#This Row],[units_sold]]&lt;50,"Very Low",IF(Table1[[#This Row],[units_sold]]&lt;150,"Low",IF(Table1[[#This Row],[units_sold]]&lt;300,"Medium","High")))</f>
        <v>Low</v>
      </c>
      <c r="M591" t="str">
        <f t="shared" si="19"/>
        <v>Normal</v>
      </c>
      <c r="N591">
        <f>(Table1[[#This Row],[price]]*0.7)</f>
        <v>423.20600000000002</v>
      </c>
    </row>
    <row r="592" spans="1:14" x14ac:dyDescent="0.35">
      <c r="A592" t="str">
        <f t="shared" si="18"/>
        <v>P591</v>
      </c>
      <c r="B592" t="s">
        <v>12</v>
      </c>
      <c r="C592" t="s">
        <v>7</v>
      </c>
      <c r="D592">
        <v>1288.4000000000001</v>
      </c>
      <c r="E592">
        <v>55</v>
      </c>
      <c r="F592">
        <v>4.0999999999999996</v>
      </c>
      <c r="G592" t="b">
        <v>1</v>
      </c>
      <c r="H592">
        <f>(Table1[[#This Row],[price]]*Table1[[#This Row],[units_sold]])</f>
        <v>70862</v>
      </c>
      <c r="I592" t="str">
        <f>IF(Table1[[#This Row],[in_stock]]=TRUE,"Available","Out of stock")</f>
        <v>Available</v>
      </c>
      <c r="J592" t="str">
        <f>IF(Table1[[#This Row],[rating]]&gt;=4,"High",IF(Table1[[#This Row],[rating]]&gt;=2.5,"Medium","Low"))</f>
        <v>High</v>
      </c>
      <c r="K592" t="str">
        <f>IF(Table1[[#This Row],[price]]&lt;200,"Budget",IF(Table1[[#This Row],[price]]&lt;600,"Mid-Range",IF(Table1[[#This Row],[price]]&lt;1000,"Premium","Luxury")))</f>
        <v>Luxury</v>
      </c>
      <c r="L592" t="str">
        <f>IF(Table1[[#This Row],[units_sold]]&lt;50,"Very Low",IF(Table1[[#This Row],[units_sold]]&lt;150,"Low",IF(Table1[[#This Row],[units_sold]]&lt;300,"Medium","High")))</f>
        <v>Low</v>
      </c>
      <c r="M592" t="str">
        <f t="shared" si="19"/>
        <v>Normal</v>
      </c>
      <c r="N592">
        <f>(Table1[[#This Row],[price]]*0.7)</f>
        <v>901.88</v>
      </c>
    </row>
    <row r="593" spans="1:14" x14ac:dyDescent="0.35">
      <c r="A593" t="str">
        <f t="shared" si="18"/>
        <v>P592</v>
      </c>
      <c r="B593" t="s">
        <v>17</v>
      </c>
      <c r="C593" t="s">
        <v>7</v>
      </c>
      <c r="D593">
        <v>23.46</v>
      </c>
      <c r="E593">
        <v>393</v>
      </c>
      <c r="F593">
        <v>1</v>
      </c>
      <c r="G593" t="b">
        <v>0</v>
      </c>
      <c r="H593">
        <f>(Table1[[#This Row],[price]]*Table1[[#This Row],[units_sold]])</f>
        <v>9219.7800000000007</v>
      </c>
      <c r="I593" t="str">
        <f>IF(Table1[[#This Row],[in_stock]]=TRUE,"Available","Out of stock")</f>
        <v>Out of stock</v>
      </c>
      <c r="J593" t="str">
        <f>IF(Table1[[#This Row],[rating]]&gt;=4,"High",IF(Table1[[#This Row],[rating]]&gt;=2.5,"Medium","Low"))</f>
        <v>Low</v>
      </c>
      <c r="K593" t="str">
        <f>IF(Table1[[#This Row],[price]]&lt;200,"Budget",IF(Table1[[#This Row],[price]]&lt;600,"Mid-Range",IF(Table1[[#This Row],[price]]&lt;1000,"Premium","Luxury")))</f>
        <v>Budget</v>
      </c>
      <c r="L593" t="str">
        <f>IF(Table1[[#This Row],[units_sold]]&lt;50,"Very Low",IF(Table1[[#This Row],[units_sold]]&lt;150,"Low",IF(Table1[[#This Row],[units_sold]]&lt;300,"Medium","High")))</f>
        <v>High</v>
      </c>
      <c r="M593" t="str">
        <f t="shared" si="19"/>
        <v>High Demand - Out of Stock</v>
      </c>
      <c r="N593">
        <f>(Table1[[#This Row],[price]]*0.7)</f>
        <v>16.422000000000001</v>
      </c>
    </row>
    <row r="594" spans="1:14" x14ac:dyDescent="0.35">
      <c r="A594" t="str">
        <f t="shared" si="18"/>
        <v>P593</v>
      </c>
      <c r="B594" t="s">
        <v>13</v>
      </c>
      <c r="C594" t="s">
        <v>9</v>
      </c>
      <c r="D594">
        <v>886.73</v>
      </c>
      <c r="E594">
        <v>47</v>
      </c>
      <c r="F594">
        <v>2.7</v>
      </c>
      <c r="G594" t="b">
        <v>1</v>
      </c>
      <c r="H594">
        <f>(Table1[[#This Row],[price]]*Table1[[#This Row],[units_sold]])</f>
        <v>41676.31</v>
      </c>
      <c r="I594" t="str">
        <f>IF(Table1[[#This Row],[in_stock]]=TRUE,"Available","Out of stock")</f>
        <v>Available</v>
      </c>
      <c r="J594" t="str">
        <f>IF(Table1[[#This Row],[rating]]&gt;=4,"High",IF(Table1[[#This Row],[rating]]&gt;=2.5,"Medium","Low"))</f>
        <v>Medium</v>
      </c>
      <c r="K594" t="str">
        <f>IF(Table1[[#This Row],[price]]&lt;200,"Budget",IF(Table1[[#This Row],[price]]&lt;600,"Mid-Range",IF(Table1[[#This Row],[price]]&lt;1000,"Premium","Luxury")))</f>
        <v>Premium</v>
      </c>
      <c r="L594" t="str">
        <f>IF(Table1[[#This Row],[units_sold]]&lt;50,"Very Low",IF(Table1[[#This Row],[units_sold]]&lt;150,"Low",IF(Table1[[#This Row],[units_sold]]&lt;300,"Medium","High")))</f>
        <v>Very Low</v>
      </c>
      <c r="M594" t="str">
        <f t="shared" si="19"/>
        <v>Normal</v>
      </c>
      <c r="N594">
        <f>(Table1[[#This Row],[price]]*0.7)</f>
        <v>620.71100000000001</v>
      </c>
    </row>
    <row r="595" spans="1:14" x14ac:dyDescent="0.35">
      <c r="A595" t="str">
        <f t="shared" si="18"/>
        <v>P594</v>
      </c>
      <c r="B595" t="s">
        <v>13</v>
      </c>
      <c r="C595" t="s">
        <v>9</v>
      </c>
      <c r="D595">
        <v>902.08</v>
      </c>
      <c r="E595">
        <v>399</v>
      </c>
      <c r="F595">
        <v>3.1</v>
      </c>
      <c r="G595" t="b">
        <v>0</v>
      </c>
      <c r="H595">
        <f>(Table1[[#This Row],[price]]*Table1[[#This Row],[units_sold]])</f>
        <v>359929.92000000004</v>
      </c>
      <c r="I595" t="str">
        <f>IF(Table1[[#This Row],[in_stock]]=TRUE,"Available","Out of stock")</f>
        <v>Out of stock</v>
      </c>
      <c r="J595" t="str">
        <f>IF(Table1[[#This Row],[rating]]&gt;=4,"High",IF(Table1[[#This Row],[rating]]&gt;=2.5,"Medium","Low"))</f>
        <v>Medium</v>
      </c>
      <c r="K595" t="str">
        <f>IF(Table1[[#This Row],[price]]&lt;200,"Budget",IF(Table1[[#This Row],[price]]&lt;600,"Mid-Range",IF(Table1[[#This Row],[price]]&lt;1000,"Premium","Luxury")))</f>
        <v>Premium</v>
      </c>
      <c r="L595" t="str">
        <f>IF(Table1[[#This Row],[units_sold]]&lt;50,"Very Low",IF(Table1[[#This Row],[units_sold]]&lt;150,"Low",IF(Table1[[#This Row],[units_sold]]&lt;300,"Medium","High")))</f>
        <v>High</v>
      </c>
      <c r="M595" t="str">
        <f t="shared" si="19"/>
        <v>High Demand - Out of Stock</v>
      </c>
      <c r="N595">
        <f>(Table1[[#This Row],[price]]*0.7)</f>
        <v>631.45600000000002</v>
      </c>
    </row>
    <row r="596" spans="1:14" x14ac:dyDescent="0.35">
      <c r="A596" t="str">
        <f t="shared" si="18"/>
        <v>P595</v>
      </c>
      <c r="B596" t="s">
        <v>17</v>
      </c>
      <c r="C596" t="s">
        <v>7</v>
      </c>
      <c r="D596">
        <v>601.02</v>
      </c>
      <c r="E596">
        <v>432</v>
      </c>
      <c r="F596">
        <v>1.2</v>
      </c>
      <c r="G596" t="b">
        <v>1</v>
      </c>
      <c r="H596">
        <f>(Table1[[#This Row],[price]]*Table1[[#This Row],[units_sold]])</f>
        <v>259640.63999999998</v>
      </c>
      <c r="I596" t="str">
        <f>IF(Table1[[#This Row],[in_stock]]=TRUE,"Available","Out of stock")</f>
        <v>Available</v>
      </c>
      <c r="J596" t="str">
        <f>IF(Table1[[#This Row],[rating]]&gt;=4,"High",IF(Table1[[#This Row],[rating]]&gt;=2.5,"Medium","Low"))</f>
        <v>Low</v>
      </c>
      <c r="K596" t="str">
        <f>IF(Table1[[#This Row],[price]]&lt;200,"Budget",IF(Table1[[#This Row],[price]]&lt;600,"Mid-Range",IF(Table1[[#This Row],[price]]&lt;1000,"Premium","Luxury")))</f>
        <v>Premium</v>
      </c>
      <c r="L596" t="str">
        <f>IF(Table1[[#This Row],[units_sold]]&lt;50,"Very Low",IF(Table1[[#This Row],[units_sold]]&lt;150,"Low",IF(Table1[[#This Row],[units_sold]]&lt;300,"Medium","High")))</f>
        <v>High</v>
      </c>
      <c r="M596" t="str">
        <f t="shared" si="19"/>
        <v>Normal</v>
      </c>
      <c r="N596">
        <f>(Table1[[#This Row],[price]]*0.7)</f>
        <v>420.71399999999994</v>
      </c>
    </row>
    <row r="597" spans="1:14" x14ac:dyDescent="0.35">
      <c r="A597" t="str">
        <f t="shared" si="18"/>
        <v>P596</v>
      </c>
      <c r="B597" t="s">
        <v>8</v>
      </c>
      <c r="C597" t="s">
        <v>9</v>
      </c>
      <c r="D597">
        <v>363.17</v>
      </c>
      <c r="E597">
        <v>238</v>
      </c>
      <c r="F597">
        <v>4.9000000000000004</v>
      </c>
      <c r="G597" t="b">
        <v>1</v>
      </c>
      <c r="H597">
        <f>(Table1[[#This Row],[price]]*Table1[[#This Row],[units_sold]])</f>
        <v>86434.46</v>
      </c>
      <c r="I597" t="str">
        <f>IF(Table1[[#This Row],[in_stock]]=TRUE,"Available","Out of stock")</f>
        <v>Available</v>
      </c>
      <c r="J597" t="str">
        <f>IF(Table1[[#This Row],[rating]]&gt;=4,"High",IF(Table1[[#This Row],[rating]]&gt;=2.5,"Medium","Low"))</f>
        <v>High</v>
      </c>
      <c r="K597" t="str">
        <f>IF(Table1[[#This Row],[price]]&lt;200,"Budget",IF(Table1[[#This Row],[price]]&lt;600,"Mid-Range",IF(Table1[[#This Row],[price]]&lt;1000,"Premium","Luxury")))</f>
        <v>Mid-Range</v>
      </c>
      <c r="L597" t="str">
        <f>IF(Table1[[#This Row],[units_sold]]&lt;50,"Very Low",IF(Table1[[#This Row],[units_sold]]&lt;150,"Low",IF(Table1[[#This Row],[units_sold]]&lt;300,"Medium","High")))</f>
        <v>Medium</v>
      </c>
      <c r="M597" t="str">
        <f t="shared" si="19"/>
        <v>Normal</v>
      </c>
      <c r="N597">
        <f>(Table1[[#This Row],[price]]*0.7)</f>
        <v>254.21899999999999</v>
      </c>
    </row>
    <row r="598" spans="1:14" x14ac:dyDescent="0.35">
      <c r="A598" t="str">
        <f t="shared" si="18"/>
        <v>P597</v>
      </c>
      <c r="B598" t="s">
        <v>11</v>
      </c>
      <c r="C598" t="s">
        <v>9</v>
      </c>
      <c r="D598">
        <v>359.66</v>
      </c>
      <c r="E598">
        <v>104</v>
      </c>
      <c r="F598">
        <v>1.9</v>
      </c>
      <c r="G598" t="b">
        <v>1</v>
      </c>
      <c r="H598">
        <f>(Table1[[#This Row],[price]]*Table1[[#This Row],[units_sold]])</f>
        <v>37404.639999999999</v>
      </c>
      <c r="I598" t="str">
        <f>IF(Table1[[#This Row],[in_stock]]=TRUE,"Available","Out of stock")</f>
        <v>Available</v>
      </c>
      <c r="J598" t="str">
        <f>IF(Table1[[#This Row],[rating]]&gt;=4,"High",IF(Table1[[#This Row],[rating]]&gt;=2.5,"Medium","Low"))</f>
        <v>Low</v>
      </c>
      <c r="K598" t="str">
        <f>IF(Table1[[#This Row],[price]]&lt;200,"Budget",IF(Table1[[#This Row],[price]]&lt;600,"Mid-Range",IF(Table1[[#This Row],[price]]&lt;1000,"Premium","Luxury")))</f>
        <v>Mid-Range</v>
      </c>
      <c r="L598" t="str">
        <f>IF(Table1[[#This Row],[units_sold]]&lt;50,"Very Low",IF(Table1[[#This Row],[units_sold]]&lt;150,"Low",IF(Table1[[#This Row],[units_sold]]&lt;300,"Medium","High")))</f>
        <v>Low</v>
      </c>
      <c r="M598" t="str">
        <f t="shared" si="19"/>
        <v>Normal</v>
      </c>
      <c r="N598">
        <f>(Table1[[#This Row],[price]]*0.7)</f>
        <v>251.762</v>
      </c>
    </row>
    <row r="599" spans="1:14" x14ac:dyDescent="0.35">
      <c r="A599" t="str">
        <f t="shared" si="18"/>
        <v>P598</v>
      </c>
      <c r="B599" t="s">
        <v>8</v>
      </c>
      <c r="C599" t="s">
        <v>9</v>
      </c>
      <c r="D599">
        <v>1326.73</v>
      </c>
      <c r="E599">
        <v>210</v>
      </c>
      <c r="F599">
        <v>2.2000000000000002</v>
      </c>
      <c r="G599" t="b">
        <v>1</v>
      </c>
      <c r="H599">
        <f>(Table1[[#This Row],[price]]*Table1[[#This Row],[units_sold]])</f>
        <v>278613.3</v>
      </c>
      <c r="I599" t="str">
        <f>IF(Table1[[#This Row],[in_stock]]=TRUE,"Available","Out of stock")</f>
        <v>Available</v>
      </c>
      <c r="J599" t="str">
        <f>IF(Table1[[#This Row],[rating]]&gt;=4,"High",IF(Table1[[#This Row],[rating]]&gt;=2.5,"Medium","Low"))</f>
        <v>Low</v>
      </c>
      <c r="K599" t="str">
        <f>IF(Table1[[#This Row],[price]]&lt;200,"Budget",IF(Table1[[#This Row],[price]]&lt;600,"Mid-Range",IF(Table1[[#This Row],[price]]&lt;1000,"Premium","Luxury")))</f>
        <v>Luxury</v>
      </c>
      <c r="L599" t="str">
        <f>IF(Table1[[#This Row],[units_sold]]&lt;50,"Very Low",IF(Table1[[#This Row],[units_sold]]&lt;150,"Low",IF(Table1[[#This Row],[units_sold]]&lt;300,"Medium","High")))</f>
        <v>Medium</v>
      </c>
      <c r="M599" t="str">
        <f t="shared" si="19"/>
        <v>Normal</v>
      </c>
      <c r="N599">
        <f>(Table1[[#This Row],[price]]*0.7)</f>
        <v>928.7109999999999</v>
      </c>
    </row>
    <row r="600" spans="1:14" x14ac:dyDescent="0.35">
      <c r="A600" t="str">
        <f t="shared" si="18"/>
        <v>P599</v>
      </c>
      <c r="B600" t="s">
        <v>16</v>
      </c>
      <c r="C600" t="s">
        <v>9</v>
      </c>
      <c r="D600">
        <v>668.62</v>
      </c>
      <c r="E600">
        <v>42</v>
      </c>
      <c r="F600">
        <v>2.2000000000000002</v>
      </c>
      <c r="G600" t="b">
        <v>1</v>
      </c>
      <c r="H600">
        <f>(Table1[[#This Row],[price]]*Table1[[#This Row],[units_sold]])</f>
        <v>28082.04</v>
      </c>
      <c r="I600" t="str">
        <f>IF(Table1[[#This Row],[in_stock]]=TRUE,"Available","Out of stock")</f>
        <v>Available</v>
      </c>
      <c r="J600" t="str">
        <f>IF(Table1[[#This Row],[rating]]&gt;=4,"High",IF(Table1[[#This Row],[rating]]&gt;=2.5,"Medium","Low"))</f>
        <v>Low</v>
      </c>
      <c r="K600" t="str">
        <f>IF(Table1[[#This Row],[price]]&lt;200,"Budget",IF(Table1[[#This Row],[price]]&lt;600,"Mid-Range",IF(Table1[[#This Row],[price]]&lt;1000,"Premium","Luxury")))</f>
        <v>Premium</v>
      </c>
      <c r="L600" t="str">
        <f>IF(Table1[[#This Row],[units_sold]]&lt;50,"Very Low",IF(Table1[[#This Row],[units_sold]]&lt;150,"Low",IF(Table1[[#This Row],[units_sold]]&lt;300,"Medium","High")))</f>
        <v>Very Low</v>
      </c>
      <c r="M600" t="str">
        <f t="shared" si="19"/>
        <v>Normal</v>
      </c>
      <c r="N600">
        <f>(Table1[[#This Row],[price]]*0.7)</f>
        <v>468.03399999999999</v>
      </c>
    </row>
    <row r="601" spans="1:14" x14ac:dyDescent="0.35">
      <c r="A601" t="str">
        <f t="shared" si="18"/>
        <v>P600</v>
      </c>
      <c r="B601" t="s">
        <v>16</v>
      </c>
      <c r="C601" t="s">
        <v>9</v>
      </c>
      <c r="D601">
        <v>503.03</v>
      </c>
      <c r="E601">
        <v>316</v>
      </c>
      <c r="F601">
        <v>1.9</v>
      </c>
      <c r="G601" t="b">
        <v>1</v>
      </c>
      <c r="H601">
        <f>(Table1[[#This Row],[price]]*Table1[[#This Row],[units_sold]])</f>
        <v>158957.47999999998</v>
      </c>
      <c r="I601" t="str">
        <f>IF(Table1[[#This Row],[in_stock]]=TRUE,"Available","Out of stock")</f>
        <v>Available</v>
      </c>
      <c r="J601" t="str">
        <f>IF(Table1[[#This Row],[rating]]&gt;=4,"High",IF(Table1[[#This Row],[rating]]&gt;=2.5,"Medium","Low"))</f>
        <v>Low</v>
      </c>
      <c r="K601" t="str">
        <f>IF(Table1[[#This Row],[price]]&lt;200,"Budget",IF(Table1[[#This Row],[price]]&lt;600,"Mid-Range",IF(Table1[[#This Row],[price]]&lt;1000,"Premium","Luxury")))</f>
        <v>Mid-Range</v>
      </c>
      <c r="L601" t="str">
        <f>IF(Table1[[#This Row],[units_sold]]&lt;50,"Very Low",IF(Table1[[#This Row],[units_sold]]&lt;150,"Low",IF(Table1[[#This Row],[units_sold]]&lt;300,"Medium","High")))</f>
        <v>High</v>
      </c>
      <c r="M601" t="str">
        <f t="shared" si="19"/>
        <v>Normal</v>
      </c>
      <c r="N601">
        <f>(Table1[[#This Row],[price]]*0.7)</f>
        <v>352.12099999999998</v>
      </c>
    </row>
    <row r="602" spans="1:14" x14ac:dyDescent="0.35">
      <c r="A602" t="str">
        <f t="shared" si="18"/>
        <v>P601</v>
      </c>
      <c r="B602" t="s">
        <v>12</v>
      </c>
      <c r="C602" t="s">
        <v>7</v>
      </c>
      <c r="D602">
        <v>678.68</v>
      </c>
      <c r="E602">
        <v>468</v>
      </c>
      <c r="F602">
        <v>1</v>
      </c>
      <c r="G602" t="b">
        <v>1</v>
      </c>
      <c r="H602">
        <f>(Table1[[#This Row],[price]]*Table1[[#This Row],[units_sold]])</f>
        <v>317622.24</v>
      </c>
      <c r="I602" t="str">
        <f>IF(Table1[[#This Row],[in_stock]]=TRUE,"Available","Out of stock")</f>
        <v>Available</v>
      </c>
      <c r="J602" t="str">
        <f>IF(Table1[[#This Row],[rating]]&gt;=4,"High",IF(Table1[[#This Row],[rating]]&gt;=2.5,"Medium","Low"))</f>
        <v>Low</v>
      </c>
      <c r="K602" t="str">
        <f>IF(Table1[[#This Row],[price]]&lt;200,"Budget",IF(Table1[[#This Row],[price]]&lt;600,"Mid-Range",IF(Table1[[#This Row],[price]]&lt;1000,"Premium","Luxury")))</f>
        <v>Premium</v>
      </c>
      <c r="L602" t="str">
        <f>IF(Table1[[#This Row],[units_sold]]&lt;50,"Very Low",IF(Table1[[#This Row],[units_sold]]&lt;150,"Low",IF(Table1[[#This Row],[units_sold]]&lt;300,"Medium","High")))</f>
        <v>High</v>
      </c>
      <c r="M602" t="str">
        <f t="shared" si="19"/>
        <v>Normal</v>
      </c>
      <c r="N602">
        <f>(Table1[[#This Row],[price]]*0.7)</f>
        <v>475.07599999999991</v>
      </c>
    </row>
    <row r="603" spans="1:14" x14ac:dyDescent="0.35">
      <c r="A603" t="str">
        <f t="shared" si="18"/>
        <v>P602</v>
      </c>
      <c r="B603" t="s">
        <v>15</v>
      </c>
      <c r="C603" t="s">
        <v>7</v>
      </c>
      <c r="D603">
        <v>1007.39</v>
      </c>
      <c r="E603">
        <v>454</v>
      </c>
      <c r="F603">
        <v>3.9</v>
      </c>
      <c r="G603" t="b">
        <v>1</v>
      </c>
      <c r="H603">
        <f>(Table1[[#This Row],[price]]*Table1[[#This Row],[units_sold]])</f>
        <v>457355.06</v>
      </c>
      <c r="I603" t="str">
        <f>IF(Table1[[#This Row],[in_stock]]=TRUE,"Available","Out of stock")</f>
        <v>Available</v>
      </c>
      <c r="J603" t="str">
        <f>IF(Table1[[#This Row],[rating]]&gt;=4,"High",IF(Table1[[#This Row],[rating]]&gt;=2.5,"Medium","Low"))</f>
        <v>Medium</v>
      </c>
      <c r="K603" t="str">
        <f>IF(Table1[[#This Row],[price]]&lt;200,"Budget",IF(Table1[[#This Row],[price]]&lt;600,"Mid-Range",IF(Table1[[#This Row],[price]]&lt;1000,"Premium","Luxury")))</f>
        <v>Luxury</v>
      </c>
      <c r="L603" t="str">
        <f>IF(Table1[[#This Row],[units_sold]]&lt;50,"Very Low",IF(Table1[[#This Row],[units_sold]]&lt;150,"Low",IF(Table1[[#This Row],[units_sold]]&lt;300,"Medium","High")))</f>
        <v>High</v>
      </c>
      <c r="M603" t="str">
        <f t="shared" si="19"/>
        <v>Normal</v>
      </c>
      <c r="N603">
        <f>(Table1[[#This Row],[price]]*0.7)</f>
        <v>705.173</v>
      </c>
    </row>
    <row r="604" spans="1:14" x14ac:dyDescent="0.35">
      <c r="A604" t="str">
        <f t="shared" si="18"/>
        <v>P603</v>
      </c>
      <c r="B604" t="s">
        <v>15</v>
      </c>
      <c r="C604" t="s">
        <v>7</v>
      </c>
      <c r="D604">
        <v>227.18</v>
      </c>
      <c r="E604">
        <v>268</v>
      </c>
      <c r="F604">
        <v>4.9000000000000004</v>
      </c>
      <c r="G604" t="b">
        <v>0</v>
      </c>
      <c r="H604">
        <f>(Table1[[#This Row],[price]]*Table1[[#This Row],[units_sold]])</f>
        <v>60884.240000000005</v>
      </c>
      <c r="I604" t="str">
        <f>IF(Table1[[#This Row],[in_stock]]=TRUE,"Available","Out of stock")</f>
        <v>Out of stock</v>
      </c>
      <c r="J604" t="str">
        <f>IF(Table1[[#This Row],[rating]]&gt;=4,"High",IF(Table1[[#This Row],[rating]]&gt;=2.5,"Medium","Low"))</f>
        <v>High</v>
      </c>
      <c r="K604" t="str">
        <f>IF(Table1[[#This Row],[price]]&lt;200,"Budget",IF(Table1[[#This Row],[price]]&lt;600,"Mid-Range",IF(Table1[[#This Row],[price]]&lt;1000,"Premium","Luxury")))</f>
        <v>Mid-Range</v>
      </c>
      <c r="L604" t="str">
        <f>IF(Table1[[#This Row],[units_sold]]&lt;50,"Very Low",IF(Table1[[#This Row],[units_sold]]&lt;150,"Low",IF(Table1[[#This Row],[units_sold]]&lt;300,"Medium","High")))</f>
        <v>Medium</v>
      </c>
      <c r="M604" t="str">
        <f t="shared" si="19"/>
        <v>Normal</v>
      </c>
      <c r="N604">
        <f>(Table1[[#This Row],[price]]*0.7)</f>
        <v>159.02599999999998</v>
      </c>
    </row>
    <row r="605" spans="1:14" x14ac:dyDescent="0.35">
      <c r="A605" t="str">
        <f t="shared" si="18"/>
        <v>P604</v>
      </c>
      <c r="B605" t="s">
        <v>13</v>
      </c>
      <c r="C605" t="s">
        <v>9</v>
      </c>
      <c r="D605">
        <v>679.66</v>
      </c>
      <c r="E605">
        <v>386</v>
      </c>
      <c r="F605">
        <v>1.9</v>
      </c>
      <c r="G605" t="b">
        <v>0</v>
      </c>
      <c r="H605">
        <f>(Table1[[#This Row],[price]]*Table1[[#This Row],[units_sold]])</f>
        <v>262348.76</v>
      </c>
      <c r="I605" t="str">
        <f>IF(Table1[[#This Row],[in_stock]]=TRUE,"Available","Out of stock")</f>
        <v>Out of stock</v>
      </c>
      <c r="J605" t="str">
        <f>IF(Table1[[#This Row],[rating]]&gt;=4,"High",IF(Table1[[#This Row],[rating]]&gt;=2.5,"Medium","Low"))</f>
        <v>Low</v>
      </c>
      <c r="K605" t="str">
        <f>IF(Table1[[#This Row],[price]]&lt;200,"Budget",IF(Table1[[#This Row],[price]]&lt;600,"Mid-Range",IF(Table1[[#This Row],[price]]&lt;1000,"Premium","Luxury")))</f>
        <v>Premium</v>
      </c>
      <c r="L605" t="str">
        <f>IF(Table1[[#This Row],[units_sold]]&lt;50,"Very Low",IF(Table1[[#This Row],[units_sold]]&lt;150,"Low",IF(Table1[[#This Row],[units_sold]]&lt;300,"Medium","High")))</f>
        <v>High</v>
      </c>
      <c r="M605" t="str">
        <f t="shared" si="19"/>
        <v>High Demand - Out of Stock</v>
      </c>
      <c r="N605">
        <f>(Table1[[#This Row],[price]]*0.7)</f>
        <v>475.76199999999994</v>
      </c>
    </row>
    <row r="606" spans="1:14" x14ac:dyDescent="0.35">
      <c r="A606" t="str">
        <f t="shared" si="18"/>
        <v>P605</v>
      </c>
      <c r="B606" t="s">
        <v>14</v>
      </c>
      <c r="C606" t="s">
        <v>9</v>
      </c>
      <c r="D606">
        <v>885.95</v>
      </c>
      <c r="E606">
        <v>263</v>
      </c>
      <c r="F606">
        <v>3.7</v>
      </c>
      <c r="G606" t="b">
        <v>1</v>
      </c>
      <c r="H606">
        <f>(Table1[[#This Row],[price]]*Table1[[#This Row],[units_sold]])</f>
        <v>233004.85</v>
      </c>
      <c r="I606" t="str">
        <f>IF(Table1[[#This Row],[in_stock]]=TRUE,"Available","Out of stock")</f>
        <v>Available</v>
      </c>
      <c r="J606" t="str">
        <f>IF(Table1[[#This Row],[rating]]&gt;=4,"High",IF(Table1[[#This Row],[rating]]&gt;=2.5,"Medium","Low"))</f>
        <v>Medium</v>
      </c>
      <c r="K606" t="str">
        <f>IF(Table1[[#This Row],[price]]&lt;200,"Budget",IF(Table1[[#This Row],[price]]&lt;600,"Mid-Range",IF(Table1[[#This Row],[price]]&lt;1000,"Premium","Luxury")))</f>
        <v>Premium</v>
      </c>
      <c r="L606" t="str">
        <f>IF(Table1[[#This Row],[units_sold]]&lt;50,"Very Low",IF(Table1[[#This Row],[units_sold]]&lt;150,"Low",IF(Table1[[#This Row],[units_sold]]&lt;300,"Medium","High")))</f>
        <v>Medium</v>
      </c>
      <c r="M606" t="str">
        <f t="shared" si="19"/>
        <v>Normal</v>
      </c>
      <c r="N606">
        <f>(Table1[[#This Row],[price]]*0.7)</f>
        <v>620.16499999999996</v>
      </c>
    </row>
    <row r="607" spans="1:14" x14ac:dyDescent="0.35">
      <c r="A607" t="str">
        <f t="shared" si="18"/>
        <v>P606</v>
      </c>
      <c r="B607" t="s">
        <v>8</v>
      </c>
      <c r="C607" t="s">
        <v>9</v>
      </c>
      <c r="D607">
        <v>1423.39</v>
      </c>
      <c r="E607">
        <v>336</v>
      </c>
      <c r="F607">
        <v>4</v>
      </c>
      <c r="G607" t="b">
        <v>1</v>
      </c>
      <c r="H607">
        <f>(Table1[[#This Row],[price]]*Table1[[#This Row],[units_sold]])</f>
        <v>478259.04000000004</v>
      </c>
      <c r="I607" t="str">
        <f>IF(Table1[[#This Row],[in_stock]]=TRUE,"Available","Out of stock")</f>
        <v>Available</v>
      </c>
      <c r="J607" t="str">
        <f>IF(Table1[[#This Row],[rating]]&gt;=4,"High",IF(Table1[[#This Row],[rating]]&gt;=2.5,"Medium","Low"))</f>
        <v>High</v>
      </c>
      <c r="K607" t="str">
        <f>IF(Table1[[#This Row],[price]]&lt;200,"Budget",IF(Table1[[#This Row],[price]]&lt;600,"Mid-Range",IF(Table1[[#This Row],[price]]&lt;1000,"Premium","Luxury")))</f>
        <v>Luxury</v>
      </c>
      <c r="L607" t="str">
        <f>IF(Table1[[#This Row],[units_sold]]&lt;50,"Very Low",IF(Table1[[#This Row],[units_sold]]&lt;150,"Low",IF(Table1[[#This Row],[units_sold]]&lt;300,"Medium","High")))</f>
        <v>High</v>
      </c>
      <c r="M607" t="str">
        <f t="shared" si="19"/>
        <v>Normal</v>
      </c>
      <c r="N607">
        <f>(Table1[[#This Row],[price]]*0.7)</f>
        <v>996.37300000000005</v>
      </c>
    </row>
    <row r="608" spans="1:14" x14ac:dyDescent="0.35">
      <c r="A608" t="str">
        <f t="shared" si="18"/>
        <v>P607</v>
      </c>
      <c r="B608" t="s">
        <v>10</v>
      </c>
      <c r="C608" t="s">
        <v>9</v>
      </c>
      <c r="D608">
        <v>386.27</v>
      </c>
      <c r="E608">
        <v>387</v>
      </c>
      <c r="F608">
        <v>4.4000000000000004</v>
      </c>
      <c r="G608" t="b">
        <v>1</v>
      </c>
      <c r="H608">
        <f>(Table1[[#This Row],[price]]*Table1[[#This Row],[units_sold]])</f>
        <v>149486.49</v>
      </c>
      <c r="I608" t="str">
        <f>IF(Table1[[#This Row],[in_stock]]=TRUE,"Available","Out of stock")</f>
        <v>Available</v>
      </c>
      <c r="J608" t="str">
        <f>IF(Table1[[#This Row],[rating]]&gt;=4,"High",IF(Table1[[#This Row],[rating]]&gt;=2.5,"Medium","Low"))</f>
        <v>High</v>
      </c>
      <c r="K608" t="str">
        <f>IF(Table1[[#This Row],[price]]&lt;200,"Budget",IF(Table1[[#This Row],[price]]&lt;600,"Mid-Range",IF(Table1[[#This Row],[price]]&lt;1000,"Premium","Luxury")))</f>
        <v>Mid-Range</v>
      </c>
      <c r="L608" t="str">
        <f>IF(Table1[[#This Row],[units_sold]]&lt;50,"Very Low",IF(Table1[[#This Row],[units_sold]]&lt;150,"Low",IF(Table1[[#This Row],[units_sold]]&lt;300,"Medium","High")))</f>
        <v>High</v>
      </c>
      <c r="M608" t="str">
        <f t="shared" si="19"/>
        <v>Normal</v>
      </c>
      <c r="N608">
        <f>(Table1[[#This Row],[price]]*0.7)</f>
        <v>270.38899999999995</v>
      </c>
    </row>
    <row r="609" spans="1:14" x14ac:dyDescent="0.35">
      <c r="A609" t="str">
        <f t="shared" si="18"/>
        <v>P608</v>
      </c>
      <c r="B609" t="s">
        <v>6</v>
      </c>
      <c r="C609" t="s">
        <v>7</v>
      </c>
      <c r="D609">
        <v>545.28</v>
      </c>
      <c r="E609">
        <v>365</v>
      </c>
      <c r="F609">
        <v>2.7</v>
      </c>
      <c r="G609" t="b">
        <v>1</v>
      </c>
      <c r="H609">
        <f>(Table1[[#This Row],[price]]*Table1[[#This Row],[units_sold]])</f>
        <v>199027.19999999998</v>
      </c>
      <c r="I609" t="str">
        <f>IF(Table1[[#This Row],[in_stock]]=TRUE,"Available","Out of stock")</f>
        <v>Available</v>
      </c>
      <c r="J609" t="str">
        <f>IF(Table1[[#This Row],[rating]]&gt;=4,"High",IF(Table1[[#This Row],[rating]]&gt;=2.5,"Medium","Low"))</f>
        <v>Medium</v>
      </c>
      <c r="K609" t="str">
        <f>IF(Table1[[#This Row],[price]]&lt;200,"Budget",IF(Table1[[#This Row],[price]]&lt;600,"Mid-Range",IF(Table1[[#This Row],[price]]&lt;1000,"Premium","Luxury")))</f>
        <v>Mid-Range</v>
      </c>
      <c r="L609" t="str">
        <f>IF(Table1[[#This Row],[units_sold]]&lt;50,"Very Low",IF(Table1[[#This Row],[units_sold]]&lt;150,"Low",IF(Table1[[#This Row],[units_sold]]&lt;300,"Medium","High")))</f>
        <v>High</v>
      </c>
      <c r="M609" t="str">
        <f t="shared" si="19"/>
        <v>Normal</v>
      </c>
      <c r="N609">
        <f>(Table1[[#This Row],[price]]*0.7)</f>
        <v>381.69599999999997</v>
      </c>
    </row>
    <row r="610" spans="1:14" x14ac:dyDescent="0.35">
      <c r="A610" t="str">
        <f t="shared" si="18"/>
        <v>P609</v>
      </c>
      <c r="B610" t="s">
        <v>15</v>
      </c>
      <c r="C610" t="s">
        <v>7</v>
      </c>
      <c r="D610">
        <v>575.24</v>
      </c>
      <c r="E610">
        <v>259</v>
      </c>
      <c r="F610">
        <v>2.2000000000000002</v>
      </c>
      <c r="G610" t="b">
        <v>0</v>
      </c>
      <c r="H610">
        <f>(Table1[[#This Row],[price]]*Table1[[#This Row],[units_sold]])</f>
        <v>148987.16</v>
      </c>
      <c r="I610" t="str">
        <f>IF(Table1[[#This Row],[in_stock]]=TRUE,"Available","Out of stock")</f>
        <v>Out of stock</v>
      </c>
      <c r="J610" t="str">
        <f>IF(Table1[[#This Row],[rating]]&gt;=4,"High",IF(Table1[[#This Row],[rating]]&gt;=2.5,"Medium","Low"))</f>
        <v>Low</v>
      </c>
      <c r="K610" t="str">
        <f>IF(Table1[[#This Row],[price]]&lt;200,"Budget",IF(Table1[[#This Row],[price]]&lt;600,"Mid-Range",IF(Table1[[#This Row],[price]]&lt;1000,"Premium","Luxury")))</f>
        <v>Mid-Range</v>
      </c>
      <c r="L610" t="str">
        <f>IF(Table1[[#This Row],[units_sold]]&lt;50,"Very Low",IF(Table1[[#This Row],[units_sold]]&lt;150,"Low",IF(Table1[[#This Row],[units_sold]]&lt;300,"Medium","High")))</f>
        <v>Medium</v>
      </c>
      <c r="M610" t="str">
        <f t="shared" si="19"/>
        <v>Normal</v>
      </c>
      <c r="N610">
        <f>(Table1[[#This Row],[price]]*0.7)</f>
        <v>402.66800000000001</v>
      </c>
    </row>
    <row r="611" spans="1:14" x14ac:dyDescent="0.35">
      <c r="A611" t="str">
        <f t="shared" si="18"/>
        <v>P610</v>
      </c>
      <c r="B611" t="s">
        <v>6</v>
      </c>
      <c r="C611" t="s">
        <v>7</v>
      </c>
      <c r="D611">
        <v>912.25</v>
      </c>
      <c r="E611">
        <v>283</v>
      </c>
      <c r="F611">
        <v>2.2999999999999998</v>
      </c>
      <c r="G611" t="b">
        <v>0</v>
      </c>
      <c r="H611">
        <f>(Table1[[#This Row],[price]]*Table1[[#This Row],[units_sold]])</f>
        <v>258166.75</v>
      </c>
      <c r="I611" t="str">
        <f>IF(Table1[[#This Row],[in_stock]]=TRUE,"Available","Out of stock")</f>
        <v>Out of stock</v>
      </c>
      <c r="J611" t="str">
        <f>IF(Table1[[#This Row],[rating]]&gt;=4,"High",IF(Table1[[#This Row],[rating]]&gt;=2.5,"Medium","Low"))</f>
        <v>Low</v>
      </c>
      <c r="K611" t="str">
        <f>IF(Table1[[#This Row],[price]]&lt;200,"Budget",IF(Table1[[#This Row],[price]]&lt;600,"Mid-Range",IF(Table1[[#This Row],[price]]&lt;1000,"Premium","Luxury")))</f>
        <v>Premium</v>
      </c>
      <c r="L611" t="str">
        <f>IF(Table1[[#This Row],[units_sold]]&lt;50,"Very Low",IF(Table1[[#This Row],[units_sold]]&lt;150,"Low",IF(Table1[[#This Row],[units_sold]]&lt;300,"Medium","High")))</f>
        <v>Medium</v>
      </c>
      <c r="M611" t="str">
        <f t="shared" si="19"/>
        <v>Normal</v>
      </c>
      <c r="N611">
        <f>(Table1[[#This Row],[price]]*0.7)</f>
        <v>638.57499999999993</v>
      </c>
    </row>
    <row r="612" spans="1:14" x14ac:dyDescent="0.35">
      <c r="A612" t="str">
        <f t="shared" si="18"/>
        <v>P611</v>
      </c>
      <c r="B612" t="s">
        <v>12</v>
      </c>
      <c r="C612" t="s">
        <v>7</v>
      </c>
      <c r="D612">
        <v>541.53</v>
      </c>
      <c r="E612">
        <v>114</v>
      </c>
      <c r="F612">
        <v>3.9</v>
      </c>
      <c r="G612" t="b">
        <v>1</v>
      </c>
      <c r="H612">
        <f>(Table1[[#This Row],[price]]*Table1[[#This Row],[units_sold]])</f>
        <v>61734.42</v>
      </c>
      <c r="I612" t="str">
        <f>IF(Table1[[#This Row],[in_stock]]=TRUE,"Available","Out of stock")</f>
        <v>Available</v>
      </c>
      <c r="J612" t="str">
        <f>IF(Table1[[#This Row],[rating]]&gt;=4,"High",IF(Table1[[#This Row],[rating]]&gt;=2.5,"Medium","Low"))</f>
        <v>Medium</v>
      </c>
      <c r="K612" t="str">
        <f>IF(Table1[[#This Row],[price]]&lt;200,"Budget",IF(Table1[[#This Row],[price]]&lt;600,"Mid-Range",IF(Table1[[#This Row],[price]]&lt;1000,"Premium","Luxury")))</f>
        <v>Mid-Range</v>
      </c>
      <c r="L612" t="str">
        <f>IF(Table1[[#This Row],[units_sold]]&lt;50,"Very Low",IF(Table1[[#This Row],[units_sold]]&lt;150,"Low",IF(Table1[[#This Row],[units_sold]]&lt;300,"Medium","High")))</f>
        <v>Low</v>
      </c>
      <c r="M612" t="str">
        <f t="shared" si="19"/>
        <v>Normal</v>
      </c>
      <c r="N612">
        <f>(Table1[[#This Row],[price]]*0.7)</f>
        <v>379.07099999999997</v>
      </c>
    </row>
    <row r="613" spans="1:14" x14ac:dyDescent="0.35">
      <c r="A613" t="str">
        <f t="shared" si="18"/>
        <v>P612</v>
      </c>
      <c r="B613" t="s">
        <v>6</v>
      </c>
      <c r="C613" t="s">
        <v>7</v>
      </c>
      <c r="D613">
        <v>804.93</v>
      </c>
      <c r="E613">
        <v>363</v>
      </c>
      <c r="F613">
        <v>4.3</v>
      </c>
      <c r="G613" t="b">
        <v>1</v>
      </c>
      <c r="H613">
        <f>(Table1[[#This Row],[price]]*Table1[[#This Row],[units_sold]])</f>
        <v>292189.58999999997</v>
      </c>
      <c r="I613" t="str">
        <f>IF(Table1[[#This Row],[in_stock]]=TRUE,"Available","Out of stock")</f>
        <v>Available</v>
      </c>
      <c r="J613" t="str">
        <f>IF(Table1[[#This Row],[rating]]&gt;=4,"High",IF(Table1[[#This Row],[rating]]&gt;=2.5,"Medium","Low"))</f>
        <v>High</v>
      </c>
      <c r="K613" t="str">
        <f>IF(Table1[[#This Row],[price]]&lt;200,"Budget",IF(Table1[[#This Row],[price]]&lt;600,"Mid-Range",IF(Table1[[#This Row],[price]]&lt;1000,"Premium","Luxury")))</f>
        <v>Premium</v>
      </c>
      <c r="L613" t="str">
        <f>IF(Table1[[#This Row],[units_sold]]&lt;50,"Very Low",IF(Table1[[#This Row],[units_sold]]&lt;150,"Low",IF(Table1[[#This Row],[units_sold]]&lt;300,"Medium","High")))</f>
        <v>High</v>
      </c>
      <c r="M613" t="str">
        <f t="shared" si="19"/>
        <v>Normal</v>
      </c>
      <c r="N613">
        <f>(Table1[[#This Row],[price]]*0.7)</f>
        <v>563.45099999999991</v>
      </c>
    </row>
    <row r="614" spans="1:14" x14ac:dyDescent="0.35">
      <c r="A614" t="str">
        <f t="shared" si="18"/>
        <v>P613</v>
      </c>
      <c r="B614" t="s">
        <v>10</v>
      </c>
      <c r="C614" t="s">
        <v>9</v>
      </c>
      <c r="D614">
        <v>1174.8699999999999</v>
      </c>
      <c r="E614">
        <v>40</v>
      </c>
      <c r="F614">
        <v>1.7</v>
      </c>
      <c r="G614" t="b">
        <v>1</v>
      </c>
      <c r="H614">
        <f>(Table1[[#This Row],[price]]*Table1[[#This Row],[units_sold]])</f>
        <v>46994.799999999996</v>
      </c>
      <c r="I614" t="str">
        <f>IF(Table1[[#This Row],[in_stock]]=TRUE,"Available","Out of stock")</f>
        <v>Available</v>
      </c>
      <c r="J614" t="str">
        <f>IF(Table1[[#This Row],[rating]]&gt;=4,"High",IF(Table1[[#This Row],[rating]]&gt;=2.5,"Medium","Low"))</f>
        <v>Low</v>
      </c>
      <c r="K614" t="str">
        <f>IF(Table1[[#This Row],[price]]&lt;200,"Budget",IF(Table1[[#This Row],[price]]&lt;600,"Mid-Range",IF(Table1[[#This Row],[price]]&lt;1000,"Premium","Luxury")))</f>
        <v>Luxury</v>
      </c>
      <c r="L614" t="str">
        <f>IF(Table1[[#This Row],[units_sold]]&lt;50,"Very Low",IF(Table1[[#This Row],[units_sold]]&lt;150,"Low",IF(Table1[[#This Row],[units_sold]]&lt;300,"Medium","High")))</f>
        <v>Very Low</v>
      </c>
      <c r="M614" t="str">
        <f t="shared" si="19"/>
        <v>Normal</v>
      </c>
      <c r="N614">
        <f>(Table1[[#This Row],[price]]*0.7)</f>
        <v>822.40899999999988</v>
      </c>
    </row>
    <row r="615" spans="1:14" x14ac:dyDescent="0.35">
      <c r="A615" t="str">
        <f t="shared" si="18"/>
        <v>P614</v>
      </c>
      <c r="B615" t="s">
        <v>17</v>
      </c>
      <c r="C615" t="s">
        <v>7</v>
      </c>
      <c r="D615">
        <v>1061.02</v>
      </c>
      <c r="E615">
        <v>486</v>
      </c>
      <c r="F615">
        <v>2.5</v>
      </c>
      <c r="G615" t="b">
        <v>0</v>
      </c>
      <c r="H615">
        <f>(Table1[[#This Row],[price]]*Table1[[#This Row],[units_sold]])</f>
        <v>515655.72</v>
      </c>
      <c r="I615" t="str">
        <f>IF(Table1[[#This Row],[in_stock]]=TRUE,"Available","Out of stock")</f>
        <v>Out of stock</v>
      </c>
      <c r="J615" t="str">
        <f>IF(Table1[[#This Row],[rating]]&gt;=4,"High",IF(Table1[[#This Row],[rating]]&gt;=2.5,"Medium","Low"))</f>
        <v>Medium</v>
      </c>
      <c r="K615" t="str">
        <f>IF(Table1[[#This Row],[price]]&lt;200,"Budget",IF(Table1[[#This Row],[price]]&lt;600,"Mid-Range",IF(Table1[[#This Row],[price]]&lt;1000,"Premium","Luxury")))</f>
        <v>Luxury</v>
      </c>
      <c r="L615" t="str">
        <f>IF(Table1[[#This Row],[units_sold]]&lt;50,"Very Low",IF(Table1[[#This Row],[units_sold]]&lt;150,"Low",IF(Table1[[#This Row],[units_sold]]&lt;300,"Medium","High")))</f>
        <v>High</v>
      </c>
      <c r="M615" t="str">
        <f t="shared" si="19"/>
        <v>High Demand - Out of Stock</v>
      </c>
      <c r="N615">
        <f>(Table1[[#This Row],[price]]*0.7)</f>
        <v>742.71399999999994</v>
      </c>
    </row>
    <row r="616" spans="1:14" x14ac:dyDescent="0.35">
      <c r="A616" t="str">
        <f t="shared" si="18"/>
        <v>P615</v>
      </c>
      <c r="B616" t="s">
        <v>10</v>
      </c>
      <c r="C616" t="s">
        <v>9</v>
      </c>
      <c r="D616">
        <v>675.09</v>
      </c>
      <c r="E616">
        <v>417</v>
      </c>
      <c r="F616">
        <v>4.5999999999999996</v>
      </c>
      <c r="G616" t="b">
        <v>1</v>
      </c>
      <c r="H616">
        <f>(Table1[[#This Row],[price]]*Table1[[#This Row],[units_sold]])</f>
        <v>281512.53000000003</v>
      </c>
      <c r="I616" t="str">
        <f>IF(Table1[[#This Row],[in_stock]]=TRUE,"Available","Out of stock")</f>
        <v>Available</v>
      </c>
      <c r="J616" t="str">
        <f>IF(Table1[[#This Row],[rating]]&gt;=4,"High",IF(Table1[[#This Row],[rating]]&gt;=2.5,"Medium","Low"))</f>
        <v>High</v>
      </c>
      <c r="K616" t="str">
        <f>IF(Table1[[#This Row],[price]]&lt;200,"Budget",IF(Table1[[#This Row],[price]]&lt;600,"Mid-Range",IF(Table1[[#This Row],[price]]&lt;1000,"Premium","Luxury")))</f>
        <v>Premium</v>
      </c>
      <c r="L616" t="str">
        <f>IF(Table1[[#This Row],[units_sold]]&lt;50,"Very Low",IF(Table1[[#This Row],[units_sold]]&lt;150,"Low",IF(Table1[[#This Row],[units_sold]]&lt;300,"Medium","High")))</f>
        <v>High</v>
      </c>
      <c r="M616" t="str">
        <f t="shared" si="19"/>
        <v>Normal</v>
      </c>
      <c r="N616">
        <f>(Table1[[#This Row],[price]]*0.7)</f>
        <v>472.56299999999999</v>
      </c>
    </row>
    <row r="617" spans="1:14" x14ac:dyDescent="0.35">
      <c r="A617" t="str">
        <f t="shared" si="18"/>
        <v>P616</v>
      </c>
      <c r="B617" t="s">
        <v>6</v>
      </c>
      <c r="C617" t="s">
        <v>7</v>
      </c>
      <c r="D617">
        <v>1297.68</v>
      </c>
      <c r="E617">
        <v>220</v>
      </c>
      <c r="F617">
        <v>4.2</v>
      </c>
      <c r="G617" t="b">
        <v>1</v>
      </c>
      <c r="H617">
        <f>(Table1[[#This Row],[price]]*Table1[[#This Row],[units_sold]])</f>
        <v>285489.60000000003</v>
      </c>
      <c r="I617" t="str">
        <f>IF(Table1[[#This Row],[in_stock]]=TRUE,"Available","Out of stock")</f>
        <v>Available</v>
      </c>
      <c r="J617" t="str">
        <f>IF(Table1[[#This Row],[rating]]&gt;=4,"High",IF(Table1[[#This Row],[rating]]&gt;=2.5,"Medium","Low"))</f>
        <v>High</v>
      </c>
      <c r="K617" t="str">
        <f>IF(Table1[[#This Row],[price]]&lt;200,"Budget",IF(Table1[[#This Row],[price]]&lt;600,"Mid-Range",IF(Table1[[#This Row],[price]]&lt;1000,"Premium","Luxury")))</f>
        <v>Luxury</v>
      </c>
      <c r="L617" t="str">
        <f>IF(Table1[[#This Row],[units_sold]]&lt;50,"Very Low",IF(Table1[[#This Row],[units_sold]]&lt;150,"Low",IF(Table1[[#This Row],[units_sold]]&lt;300,"Medium","High")))</f>
        <v>Medium</v>
      </c>
      <c r="M617" t="str">
        <f t="shared" si="19"/>
        <v>Normal</v>
      </c>
      <c r="N617">
        <f>(Table1[[#This Row],[price]]*0.7)</f>
        <v>908.37599999999998</v>
      </c>
    </row>
    <row r="618" spans="1:14" x14ac:dyDescent="0.35">
      <c r="A618" t="str">
        <f t="shared" si="18"/>
        <v>P617</v>
      </c>
      <c r="B618" t="s">
        <v>10</v>
      </c>
      <c r="C618" t="s">
        <v>9</v>
      </c>
      <c r="D618">
        <v>841.63</v>
      </c>
      <c r="E618">
        <v>129</v>
      </c>
      <c r="F618">
        <v>4.9000000000000004</v>
      </c>
      <c r="G618" t="b">
        <v>1</v>
      </c>
      <c r="H618">
        <f>(Table1[[#This Row],[price]]*Table1[[#This Row],[units_sold]])</f>
        <v>108570.27</v>
      </c>
      <c r="I618" t="str">
        <f>IF(Table1[[#This Row],[in_stock]]=TRUE,"Available","Out of stock")</f>
        <v>Available</v>
      </c>
      <c r="J618" t="str">
        <f>IF(Table1[[#This Row],[rating]]&gt;=4,"High",IF(Table1[[#This Row],[rating]]&gt;=2.5,"Medium","Low"))</f>
        <v>High</v>
      </c>
      <c r="K618" t="str">
        <f>IF(Table1[[#This Row],[price]]&lt;200,"Budget",IF(Table1[[#This Row],[price]]&lt;600,"Mid-Range",IF(Table1[[#This Row],[price]]&lt;1000,"Premium","Luxury")))</f>
        <v>Premium</v>
      </c>
      <c r="L618" t="str">
        <f>IF(Table1[[#This Row],[units_sold]]&lt;50,"Very Low",IF(Table1[[#This Row],[units_sold]]&lt;150,"Low",IF(Table1[[#This Row],[units_sold]]&lt;300,"Medium","High")))</f>
        <v>Low</v>
      </c>
      <c r="M618" t="str">
        <f t="shared" si="19"/>
        <v>Normal</v>
      </c>
      <c r="N618">
        <f>(Table1[[#This Row],[price]]*0.7)</f>
        <v>589.14099999999996</v>
      </c>
    </row>
    <row r="619" spans="1:14" x14ac:dyDescent="0.35">
      <c r="A619" t="str">
        <f t="shared" si="18"/>
        <v>P618</v>
      </c>
      <c r="B619" t="s">
        <v>11</v>
      </c>
      <c r="C619" t="s">
        <v>9</v>
      </c>
      <c r="D619">
        <v>814.46</v>
      </c>
      <c r="E619">
        <v>8</v>
      </c>
      <c r="F619">
        <v>4</v>
      </c>
      <c r="G619" t="b">
        <v>1</v>
      </c>
      <c r="H619">
        <f>(Table1[[#This Row],[price]]*Table1[[#This Row],[units_sold]])</f>
        <v>6515.68</v>
      </c>
      <c r="I619" t="str">
        <f>IF(Table1[[#This Row],[in_stock]]=TRUE,"Available","Out of stock")</f>
        <v>Available</v>
      </c>
      <c r="J619" t="str">
        <f>IF(Table1[[#This Row],[rating]]&gt;=4,"High",IF(Table1[[#This Row],[rating]]&gt;=2.5,"Medium","Low"))</f>
        <v>High</v>
      </c>
      <c r="K619" t="str">
        <f>IF(Table1[[#This Row],[price]]&lt;200,"Budget",IF(Table1[[#This Row],[price]]&lt;600,"Mid-Range",IF(Table1[[#This Row],[price]]&lt;1000,"Premium","Luxury")))</f>
        <v>Premium</v>
      </c>
      <c r="L619" t="str">
        <f>IF(Table1[[#This Row],[units_sold]]&lt;50,"Very Low",IF(Table1[[#This Row],[units_sold]]&lt;150,"Low",IF(Table1[[#This Row],[units_sold]]&lt;300,"Medium","High")))</f>
        <v>Very Low</v>
      </c>
      <c r="M619" t="str">
        <f t="shared" si="19"/>
        <v>Normal</v>
      </c>
      <c r="N619">
        <f>(Table1[[#This Row],[price]]*0.7)</f>
        <v>570.12199999999996</v>
      </c>
    </row>
    <row r="620" spans="1:14" x14ac:dyDescent="0.35">
      <c r="A620" t="str">
        <f t="shared" si="18"/>
        <v>P619</v>
      </c>
      <c r="B620" t="s">
        <v>12</v>
      </c>
      <c r="C620" t="s">
        <v>7</v>
      </c>
      <c r="D620">
        <v>60.94</v>
      </c>
      <c r="E620">
        <v>101</v>
      </c>
      <c r="F620">
        <v>2.6</v>
      </c>
      <c r="G620" t="b">
        <v>1</v>
      </c>
      <c r="H620">
        <f>(Table1[[#This Row],[price]]*Table1[[#This Row],[units_sold]])</f>
        <v>6154.94</v>
      </c>
      <c r="I620" t="str">
        <f>IF(Table1[[#This Row],[in_stock]]=TRUE,"Available","Out of stock")</f>
        <v>Available</v>
      </c>
      <c r="J620" t="str">
        <f>IF(Table1[[#This Row],[rating]]&gt;=4,"High",IF(Table1[[#This Row],[rating]]&gt;=2.5,"Medium","Low"))</f>
        <v>Medium</v>
      </c>
      <c r="K620" t="str">
        <f>IF(Table1[[#This Row],[price]]&lt;200,"Budget",IF(Table1[[#This Row],[price]]&lt;600,"Mid-Range",IF(Table1[[#This Row],[price]]&lt;1000,"Premium","Luxury")))</f>
        <v>Budget</v>
      </c>
      <c r="L620" t="str">
        <f>IF(Table1[[#This Row],[units_sold]]&lt;50,"Very Low",IF(Table1[[#This Row],[units_sold]]&lt;150,"Low",IF(Table1[[#This Row],[units_sold]]&lt;300,"Medium","High")))</f>
        <v>Low</v>
      </c>
      <c r="M620" t="str">
        <f t="shared" si="19"/>
        <v>Normal</v>
      </c>
      <c r="N620">
        <f>(Table1[[#This Row],[price]]*0.7)</f>
        <v>42.657999999999994</v>
      </c>
    </row>
    <row r="621" spans="1:14" x14ac:dyDescent="0.35">
      <c r="A621" t="str">
        <f t="shared" si="18"/>
        <v>P620</v>
      </c>
      <c r="B621" t="s">
        <v>8</v>
      </c>
      <c r="C621" t="s">
        <v>9</v>
      </c>
      <c r="D621">
        <v>1480.17</v>
      </c>
      <c r="E621">
        <v>416</v>
      </c>
      <c r="F621">
        <v>3.4</v>
      </c>
      <c r="G621" t="b">
        <v>0</v>
      </c>
      <c r="H621">
        <f>(Table1[[#This Row],[price]]*Table1[[#This Row],[units_sold]])</f>
        <v>615750.72</v>
      </c>
      <c r="I621" t="str">
        <f>IF(Table1[[#This Row],[in_stock]]=TRUE,"Available","Out of stock")</f>
        <v>Out of stock</v>
      </c>
      <c r="J621" t="str">
        <f>IF(Table1[[#This Row],[rating]]&gt;=4,"High",IF(Table1[[#This Row],[rating]]&gt;=2.5,"Medium","Low"))</f>
        <v>Medium</v>
      </c>
      <c r="K621" t="str">
        <f>IF(Table1[[#This Row],[price]]&lt;200,"Budget",IF(Table1[[#This Row],[price]]&lt;600,"Mid-Range",IF(Table1[[#This Row],[price]]&lt;1000,"Premium","Luxury")))</f>
        <v>Luxury</v>
      </c>
      <c r="L621" t="str">
        <f>IF(Table1[[#This Row],[units_sold]]&lt;50,"Very Low",IF(Table1[[#This Row],[units_sold]]&lt;150,"Low",IF(Table1[[#This Row],[units_sold]]&lt;300,"Medium","High")))</f>
        <v>High</v>
      </c>
      <c r="M621" t="str">
        <f t="shared" si="19"/>
        <v>High Demand - Out of Stock</v>
      </c>
      <c r="N621">
        <f>(Table1[[#This Row],[price]]*0.7)</f>
        <v>1036.1189999999999</v>
      </c>
    </row>
    <row r="622" spans="1:14" x14ac:dyDescent="0.35">
      <c r="A622" t="str">
        <f t="shared" si="18"/>
        <v>P621</v>
      </c>
      <c r="B622" t="s">
        <v>17</v>
      </c>
      <c r="C622" t="s">
        <v>7</v>
      </c>
      <c r="D622">
        <v>193.23</v>
      </c>
      <c r="E622">
        <v>380</v>
      </c>
      <c r="F622">
        <v>3.6</v>
      </c>
      <c r="G622" t="b">
        <v>1</v>
      </c>
      <c r="H622">
        <f>(Table1[[#This Row],[price]]*Table1[[#This Row],[units_sold]])</f>
        <v>73427.399999999994</v>
      </c>
      <c r="I622" t="str">
        <f>IF(Table1[[#This Row],[in_stock]]=TRUE,"Available","Out of stock")</f>
        <v>Available</v>
      </c>
      <c r="J622" t="str">
        <f>IF(Table1[[#This Row],[rating]]&gt;=4,"High",IF(Table1[[#This Row],[rating]]&gt;=2.5,"Medium","Low"))</f>
        <v>Medium</v>
      </c>
      <c r="K622" t="str">
        <f>IF(Table1[[#This Row],[price]]&lt;200,"Budget",IF(Table1[[#This Row],[price]]&lt;600,"Mid-Range",IF(Table1[[#This Row],[price]]&lt;1000,"Premium","Luxury")))</f>
        <v>Budget</v>
      </c>
      <c r="L622" t="str">
        <f>IF(Table1[[#This Row],[units_sold]]&lt;50,"Very Low",IF(Table1[[#This Row],[units_sold]]&lt;150,"Low",IF(Table1[[#This Row],[units_sold]]&lt;300,"Medium","High")))</f>
        <v>High</v>
      </c>
      <c r="M622" t="str">
        <f t="shared" si="19"/>
        <v>Normal</v>
      </c>
      <c r="N622">
        <f>(Table1[[#This Row],[price]]*0.7)</f>
        <v>135.261</v>
      </c>
    </row>
    <row r="623" spans="1:14" x14ac:dyDescent="0.35">
      <c r="A623" t="str">
        <f t="shared" si="18"/>
        <v>P622</v>
      </c>
      <c r="B623" t="s">
        <v>15</v>
      </c>
      <c r="C623" t="s">
        <v>7</v>
      </c>
      <c r="D623">
        <v>354.39</v>
      </c>
      <c r="E623">
        <v>176</v>
      </c>
      <c r="F623">
        <v>1.3</v>
      </c>
      <c r="G623" t="b">
        <v>1</v>
      </c>
      <c r="H623">
        <f>(Table1[[#This Row],[price]]*Table1[[#This Row],[units_sold]])</f>
        <v>62372.639999999999</v>
      </c>
      <c r="I623" t="str">
        <f>IF(Table1[[#This Row],[in_stock]]=TRUE,"Available","Out of stock")</f>
        <v>Available</v>
      </c>
      <c r="J623" t="str">
        <f>IF(Table1[[#This Row],[rating]]&gt;=4,"High",IF(Table1[[#This Row],[rating]]&gt;=2.5,"Medium","Low"))</f>
        <v>Low</v>
      </c>
      <c r="K623" t="str">
        <f>IF(Table1[[#This Row],[price]]&lt;200,"Budget",IF(Table1[[#This Row],[price]]&lt;600,"Mid-Range",IF(Table1[[#This Row],[price]]&lt;1000,"Premium","Luxury")))</f>
        <v>Mid-Range</v>
      </c>
      <c r="L623" t="str">
        <f>IF(Table1[[#This Row],[units_sold]]&lt;50,"Very Low",IF(Table1[[#This Row],[units_sold]]&lt;150,"Low",IF(Table1[[#This Row],[units_sold]]&lt;300,"Medium","High")))</f>
        <v>Medium</v>
      </c>
      <c r="M623" t="str">
        <f t="shared" si="19"/>
        <v>Normal</v>
      </c>
      <c r="N623">
        <f>(Table1[[#This Row],[price]]*0.7)</f>
        <v>248.07299999999998</v>
      </c>
    </row>
    <row r="624" spans="1:14" x14ac:dyDescent="0.35">
      <c r="A624" t="str">
        <f t="shared" si="18"/>
        <v>P623</v>
      </c>
      <c r="B624" t="s">
        <v>16</v>
      </c>
      <c r="C624" t="s">
        <v>9</v>
      </c>
      <c r="D624">
        <v>87.03</v>
      </c>
      <c r="E624">
        <v>107</v>
      </c>
      <c r="F624">
        <v>3.2</v>
      </c>
      <c r="G624" t="b">
        <v>1</v>
      </c>
      <c r="H624">
        <f>(Table1[[#This Row],[price]]*Table1[[#This Row],[units_sold]])</f>
        <v>9312.2100000000009</v>
      </c>
      <c r="I624" t="str">
        <f>IF(Table1[[#This Row],[in_stock]]=TRUE,"Available","Out of stock")</f>
        <v>Available</v>
      </c>
      <c r="J624" t="str">
        <f>IF(Table1[[#This Row],[rating]]&gt;=4,"High",IF(Table1[[#This Row],[rating]]&gt;=2.5,"Medium","Low"))</f>
        <v>Medium</v>
      </c>
      <c r="K624" t="str">
        <f>IF(Table1[[#This Row],[price]]&lt;200,"Budget",IF(Table1[[#This Row],[price]]&lt;600,"Mid-Range",IF(Table1[[#This Row],[price]]&lt;1000,"Premium","Luxury")))</f>
        <v>Budget</v>
      </c>
      <c r="L624" t="str">
        <f>IF(Table1[[#This Row],[units_sold]]&lt;50,"Very Low",IF(Table1[[#This Row],[units_sold]]&lt;150,"Low",IF(Table1[[#This Row],[units_sold]]&lt;300,"Medium","High")))</f>
        <v>Low</v>
      </c>
      <c r="M624" t="str">
        <f t="shared" si="19"/>
        <v>Normal</v>
      </c>
      <c r="N624">
        <f>(Table1[[#This Row],[price]]*0.7)</f>
        <v>60.920999999999999</v>
      </c>
    </row>
    <row r="625" spans="1:14" x14ac:dyDescent="0.35">
      <c r="A625" t="str">
        <f t="shared" si="18"/>
        <v>P624</v>
      </c>
      <c r="B625" t="s">
        <v>8</v>
      </c>
      <c r="C625" t="s">
        <v>9</v>
      </c>
      <c r="D625">
        <v>963.6</v>
      </c>
      <c r="E625">
        <v>101</v>
      </c>
      <c r="F625">
        <v>3.8</v>
      </c>
      <c r="G625" t="b">
        <v>1</v>
      </c>
      <c r="H625">
        <f>(Table1[[#This Row],[price]]*Table1[[#This Row],[units_sold]])</f>
        <v>97323.6</v>
      </c>
      <c r="I625" t="str">
        <f>IF(Table1[[#This Row],[in_stock]]=TRUE,"Available","Out of stock")</f>
        <v>Available</v>
      </c>
      <c r="J625" t="str">
        <f>IF(Table1[[#This Row],[rating]]&gt;=4,"High",IF(Table1[[#This Row],[rating]]&gt;=2.5,"Medium","Low"))</f>
        <v>Medium</v>
      </c>
      <c r="K625" t="str">
        <f>IF(Table1[[#This Row],[price]]&lt;200,"Budget",IF(Table1[[#This Row],[price]]&lt;600,"Mid-Range",IF(Table1[[#This Row],[price]]&lt;1000,"Premium","Luxury")))</f>
        <v>Premium</v>
      </c>
      <c r="L625" t="str">
        <f>IF(Table1[[#This Row],[units_sold]]&lt;50,"Very Low",IF(Table1[[#This Row],[units_sold]]&lt;150,"Low",IF(Table1[[#This Row],[units_sold]]&lt;300,"Medium","High")))</f>
        <v>Low</v>
      </c>
      <c r="M625" t="str">
        <f t="shared" si="19"/>
        <v>Normal</v>
      </c>
      <c r="N625">
        <f>(Table1[[#This Row],[price]]*0.7)</f>
        <v>674.52</v>
      </c>
    </row>
    <row r="626" spans="1:14" x14ac:dyDescent="0.35">
      <c r="A626" t="str">
        <f t="shared" si="18"/>
        <v>P625</v>
      </c>
      <c r="B626" t="s">
        <v>16</v>
      </c>
      <c r="C626" t="s">
        <v>9</v>
      </c>
      <c r="D626">
        <v>344.8</v>
      </c>
      <c r="E626">
        <v>260</v>
      </c>
      <c r="F626">
        <v>1.7</v>
      </c>
      <c r="G626" t="b">
        <v>1</v>
      </c>
      <c r="H626">
        <f>(Table1[[#This Row],[price]]*Table1[[#This Row],[units_sold]])</f>
        <v>89648</v>
      </c>
      <c r="I626" t="str">
        <f>IF(Table1[[#This Row],[in_stock]]=TRUE,"Available","Out of stock")</f>
        <v>Available</v>
      </c>
      <c r="J626" t="str">
        <f>IF(Table1[[#This Row],[rating]]&gt;=4,"High",IF(Table1[[#This Row],[rating]]&gt;=2.5,"Medium","Low"))</f>
        <v>Low</v>
      </c>
      <c r="K626" t="str">
        <f>IF(Table1[[#This Row],[price]]&lt;200,"Budget",IF(Table1[[#This Row],[price]]&lt;600,"Mid-Range",IF(Table1[[#This Row],[price]]&lt;1000,"Premium","Luxury")))</f>
        <v>Mid-Range</v>
      </c>
      <c r="L626" t="str">
        <f>IF(Table1[[#This Row],[units_sold]]&lt;50,"Very Low",IF(Table1[[#This Row],[units_sold]]&lt;150,"Low",IF(Table1[[#This Row],[units_sold]]&lt;300,"Medium","High")))</f>
        <v>Medium</v>
      </c>
      <c r="M626" t="str">
        <f t="shared" si="19"/>
        <v>Normal</v>
      </c>
      <c r="N626">
        <f>(Table1[[#This Row],[price]]*0.7)</f>
        <v>241.35999999999999</v>
      </c>
    </row>
    <row r="627" spans="1:14" x14ac:dyDescent="0.35">
      <c r="A627" t="str">
        <f t="shared" si="18"/>
        <v>P626</v>
      </c>
      <c r="B627" t="s">
        <v>12</v>
      </c>
      <c r="C627" t="s">
        <v>7</v>
      </c>
      <c r="D627">
        <v>278.22000000000003</v>
      </c>
      <c r="E627">
        <v>478</v>
      </c>
      <c r="F627">
        <v>4.0999999999999996</v>
      </c>
      <c r="G627" t="b">
        <v>1</v>
      </c>
      <c r="H627">
        <f>(Table1[[#This Row],[price]]*Table1[[#This Row],[units_sold]])</f>
        <v>132989.16</v>
      </c>
      <c r="I627" t="str">
        <f>IF(Table1[[#This Row],[in_stock]]=TRUE,"Available","Out of stock")</f>
        <v>Available</v>
      </c>
      <c r="J627" t="str">
        <f>IF(Table1[[#This Row],[rating]]&gt;=4,"High",IF(Table1[[#This Row],[rating]]&gt;=2.5,"Medium","Low"))</f>
        <v>High</v>
      </c>
      <c r="K627" t="str">
        <f>IF(Table1[[#This Row],[price]]&lt;200,"Budget",IF(Table1[[#This Row],[price]]&lt;600,"Mid-Range",IF(Table1[[#This Row],[price]]&lt;1000,"Premium","Luxury")))</f>
        <v>Mid-Range</v>
      </c>
      <c r="L627" t="str">
        <f>IF(Table1[[#This Row],[units_sold]]&lt;50,"Very Low",IF(Table1[[#This Row],[units_sold]]&lt;150,"Low",IF(Table1[[#This Row],[units_sold]]&lt;300,"Medium","High")))</f>
        <v>High</v>
      </c>
      <c r="M627" t="str">
        <f t="shared" si="19"/>
        <v>Normal</v>
      </c>
      <c r="N627">
        <f>(Table1[[#This Row],[price]]*0.7)</f>
        <v>194.75400000000002</v>
      </c>
    </row>
    <row r="628" spans="1:14" x14ac:dyDescent="0.35">
      <c r="A628" t="str">
        <f t="shared" si="18"/>
        <v>P627</v>
      </c>
      <c r="B628" t="s">
        <v>17</v>
      </c>
      <c r="C628" t="s">
        <v>7</v>
      </c>
      <c r="D628">
        <v>141.94999999999999</v>
      </c>
      <c r="E628">
        <v>454</v>
      </c>
      <c r="F628">
        <v>3.3</v>
      </c>
      <c r="G628" t="b">
        <v>1</v>
      </c>
      <c r="H628">
        <f>(Table1[[#This Row],[price]]*Table1[[#This Row],[units_sold]])</f>
        <v>64445.299999999996</v>
      </c>
      <c r="I628" t="str">
        <f>IF(Table1[[#This Row],[in_stock]]=TRUE,"Available","Out of stock")</f>
        <v>Available</v>
      </c>
      <c r="J628" t="str">
        <f>IF(Table1[[#This Row],[rating]]&gt;=4,"High",IF(Table1[[#This Row],[rating]]&gt;=2.5,"Medium","Low"))</f>
        <v>Medium</v>
      </c>
      <c r="K628" t="str">
        <f>IF(Table1[[#This Row],[price]]&lt;200,"Budget",IF(Table1[[#This Row],[price]]&lt;600,"Mid-Range",IF(Table1[[#This Row],[price]]&lt;1000,"Premium","Luxury")))</f>
        <v>Budget</v>
      </c>
      <c r="L628" t="str">
        <f>IF(Table1[[#This Row],[units_sold]]&lt;50,"Very Low",IF(Table1[[#This Row],[units_sold]]&lt;150,"Low",IF(Table1[[#This Row],[units_sold]]&lt;300,"Medium","High")))</f>
        <v>High</v>
      </c>
      <c r="M628" t="str">
        <f t="shared" si="19"/>
        <v>Normal</v>
      </c>
      <c r="N628">
        <f>(Table1[[#This Row],[price]]*0.7)</f>
        <v>99.364999999999981</v>
      </c>
    </row>
    <row r="629" spans="1:14" x14ac:dyDescent="0.35">
      <c r="A629" t="str">
        <f t="shared" si="18"/>
        <v>P628</v>
      </c>
      <c r="B629" t="s">
        <v>13</v>
      </c>
      <c r="C629" t="s">
        <v>9</v>
      </c>
      <c r="D629">
        <v>163.93</v>
      </c>
      <c r="E629">
        <v>366</v>
      </c>
      <c r="F629">
        <v>4.8</v>
      </c>
      <c r="G629" t="b">
        <v>1</v>
      </c>
      <c r="H629">
        <f>(Table1[[#This Row],[price]]*Table1[[#This Row],[units_sold]])</f>
        <v>59998.380000000005</v>
      </c>
      <c r="I629" t="str">
        <f>IF(Table1[[#This Row],[in_stock]]=TRUE,"Available","Out of stock")</f>
        <v>Available</v>
      </c>
      <c r="J629" t="str">
        <f>IF(Table1[[#This Row],[rating]]&gt;=4,"High",IF(Table1[[#This Row],[rating]]&gt;=2.5,"Medium","Low"))</f>
        <v>High</v>
      </c>
      <c r="K629" t="str">
        <f>IF(Table1[[#This Row],[price]]&lt;200,"Budget",IF(Table1[[#This Row],[price]]&lt;600,"Mid-Range",IF(Table1[[#This Row],[price]]&lt;1000,"Premium","Luxury")))</f>
        <v>Budget</v>
      </c>
      <c r="L629" t="str">
        <f>IF(Table1[[#This Row],[units_sold]]&lt;50,"Very Low",IF(Table1[[#This Row],[units_sold]]&lt;150,"Low",IF(Table1[[#This Row],[units_sold]]&lt;300,"Medium","High")))</f>
        <v>High</v>
      </c>
      <c r="M629" t="str">
        <f t="shared" si="19"/>
        <v>Normal</v>
      </c>
      <c r="N629">
        <f>(Table1[[#This Row],[price]]*0.7)</f>
        <v>114.75099999999999</v>
      </c>
    </row>
    <row r="630" spans="1:14" x14ac:dyDescent="0.35">
      <c r="A630" t="str">
        <f t="shared" si="18"/>
        <v>P629</v>
      </c>
      <c r="B630" t="s">
        <v>15</v>
      </c>
      <c r="C630" t="s">
        <v>7</v>
      </c>
      <c r="D630">
        <v>881.16</v>
      </c>
      <c r="E630">
        <v>246</v>
      </c>
      <c r="F630">
        <v>1.2</v>
      </c>
      <c r="G630" t="b">
        <v>1</v>
      </c>
      <c r="H630">
        <f>(Table1[[#This Row],[price]]*Table1[[#This Row],[units_sold]])</f>
        <v>216765.36</v>
      </c>
      <c r="I630" t="str">
        <f>IF(Table1[[#This Row],[in_stock]]=TRUE,"Available","Out of stock")</f>
        <v>Available</v>
      </c>
      <c r="J630" t="str">
        <f>IF(Table1[[#This Row],[rating]]&gt;=4,"High",IF(Table1[[#This Row],[rating]]&gt;=2.5,"Medium","Low"))</f>
        <v>Low</v>
      </c>
      <c r="K630" t="str">
        <f>IF(Table1[[#This Row],[price]]&lt;200,"Budget",IF(Table1[[#This Row],[price]]&lt;600,"Mid-Range",IF(Table1[[#This Row],[price]]&lt;1000,"Premium","Luxury")))</f>
        <v>Premium</v>
      </c>
      <c r="L630" t="str">
        <f>IF(Table1[[#This Row],[units_sold]]&lt;50,"Very Low",IF(Table1[[#This Row],[units_sold]]&lt;150,"Low",IF(Table1[[#This Row],[units_sold]]&lt;300,"Medium","High")))</f>
        <v>Medium</v>
      </c>
      <c r="M630" t="str">
        <f t="shared" si="19"/>
        <v>Normal</v>
      </c>
      <c r="N630">
        <f>(Table1[[#This Row],[price]]*0.7)</f>
        <v>616.8119999999999</v>
      </c>
    </row>
    <row r="631" spans="1:14" x14ac:dyDescent="0.35">
      <c r="A631" t="str">
        <f t="shared" si="18"/>
        <v>P630</v>
      </c>
      <c r="B631" t="s">
        <v>11</v>
      </c>
      <c r="C631" t="s">
        <v>9</v>
      </c>
      <c r="D631">
        <v>1035.43</v>
      </c>
      <c r="E631">
        <v>275</v>
      </c>
      <c r="F631">
        <v>2.1</v>
      </c>
      <c r="G631" t="b">
        <v>1</v>
      </c>
      <c r="H631">
        <f>(Table1[[#This Row],[price]]*Table1[[#This Row],[units_sold]])</f>
        <v>284743.25</v>
      </c>
      <c r="I631" t="str">
        <f>IF(Table1[[#This Row],[in_stock]]=TRUE,"Available","Out of stock")</f>
        <v>Available</v>
      </c>
      <c r="J631" t="str">
        <f>IF(Table1[[#This Row],[rating]]&gt;=4,"High",IF(Table1[[#This Row],[rating]]&gt;=2.5,"Medium","Low"))</f>
        <v>Low</v>
      </c>
      <c r="K631" t="str">
        <f>IF(Table1[[#This Row],[price]]&lt;200,"Budget",IF(Table1[[#This Row],[price]]&lt;600,"Mid-Range",IF(Table1[[#This Row],[price]]&lt;1000,"Premium","Luxury")))</f>
        <v>Luxury</v>
      </c>
      <c r="L631" t="str">
        <f>IF(Table1[[#This Row],[units_sold]]&lt;50,"Very Low",IF(Table1[[#This Row],[units_sold]]&lt;150,"Low",IF(Table1[[#This Row],[units_sold]]&lt;300,"Medium","High")))</f>
        <v>Medium</v>
      </c>
      <c r="M631" t="str">
        <f t="shared" si="19"/>
        <v>Normal</v>
      </c>
      <c r="N631">
        <f>(Table1[[#This Row],[price]]*0.7)</f>
        <v>724.80100000000004</v>
      </c>
    </row>
    <row r="632" spans="1:14" x14ac:dyDescent="0.35">
      <c r="A632" t="str">
        <f t="shared" si="18"/>
        <v>P631</v>
      </c>
      <c r="B632" t="s">
        <v>13</v>
      </c>
      <c r="C632" t="s">
        <v>9</v>
      </c>
      <c r="D632">
        <v>602.09</v>
      </c>
      <c r="E632">
        <v>32</v>
      </c>
      <c r="F632">
        <v>3.4</v>
      </c>
      <c r="G632" t="b">
        <v>0</v>
      </c>
      <c r="H632">
        <f>(Table1[[#This Row],[price]]*Table1[[#This Row],[units_sold]])</f>
        <v>19266.88</v>
      </c>
      <c r="I632" t="str">
        <f>IF(Table1[[#This Row],[in_stock]]=TRUE,"Available","Out of stock")</f>
        <v>Out of stock</v>
      </c>
      <c r="J632" t="str">
        <f>IF(Table1[[#This Row],[rating]]&gt;=4,"High",IF(Table1[[#This Row],[rating]]&gt;=2.5,"Medium","Low"))</f>
        <v>Medium</v>
      </c>
      <c r="K632" t="str">
        <f>IF(Table1[[#This Row],[price]]&lt;200,"Budget",IF(Table1[[#This Row],[price]]&lt;600,"Mid-Range",IF(Table1[[#This Row],[price]]&lt;1000,"Premium","Luxury")))</f>
        <v>Premium</v>
      </c>
      <c r="L632" t="str">
        <f>IF(Table1[[#This Row],[units_sold]]&lt;50,"Very Low",IF(Table1[[#This Row],[units_sold]]&lt;150,"Low",IF(Table1[[#This Row],[units_sold]]&lt;300,"Medium","High")))</f>
        <v>Very Low</v>
      </c>
      <c r="M632" t="str">
        <f t="shared" si="19"/>
        <v>Normal</v>
      </c>
      <c r="N632">
        <f>(Table1[[#This Row],[price]]*0.7)</f>
        <v>421.46300000000002</v>
      </c>
    </row>
    <row r="633" spans="1:14" x14ac:dyDescent="0.35">
      <c r="A633" t="str">
        <f t="shared" si="18"/>
        <v>P632</v>
      </c>
      <c r="B633" t="s">
        <v>12</v>
      </c>
      <c r="C633" t="s">
        <v>7</v>
      </c>
      <c r="D633">
        <v>725.05</v>
      </c>
      <c r="E633">
        <v>137</v>
      </c>
      <c r="F633">
        <v>2.2000000000000002</v>
      </c>
      <c r="G633" t="b">
        <v>1</v>
      </c>
      <c r="H633">
        <f>(Table1[[#This Row],[price]]*Table1[[#This Row],[units_sold]])</f>
        <v>99331.849999999991</v>
      </c>
      <c r="I633" t="str">
        <f>IF(Table1[[#This Row],[in_stock]]=TRUE,"Available","Out of stock")</f>
        <v>Available</v>
      </c>
      <c r="J633" t="str">
        <f>IF(Table1[[#This Row],[rating]]&gt;=4,"High",IF(Table1[[#This Row],[rating]]&gt;=2.5,"Medium","Low"))</f>
        <v>Low</v>
      </c>
      <c r="K633" t="str">
        <f>IF(Table1[[#This Row],[price]]&lt;200,"Budget",IF(Table1[[#This Row],[price]]&lt;600,"Mid-Range",IF(Table1[[#This Row],[price]]&lt;1000,"Premium","Luxury")))</f>
        <v>Premium</v>
      </c>
      <c r="L633" t="str">
        <f>IF(Table1[[#This Row],[units_sold]]&lt;50,"Very Low",IF(Table1[[#This Row],[units_sold]]&lt;150,"Low",IF(Table1[[#This Row],[units_sold]]&lt;300,"Medium","High")))</f>
        <v>Low</v>
      </c>
      <c r="M633" t="str">
        <f t="shared" si="19"/>
        <v>Normal</v>
      </c>
      <c r="N633">
        <f>(Table1[[#This Row],[price]]*0.7)</f>
        <v>507.53499999999991</v>
      </c>
    </row>
    <row r="634" spans="1:14" x14ac:dyDescent="0.35">
      <c r="A634" t="str">
        <f t="shared" si="18"/>
        <v>P633</v>
      </c>
      <c r="B634" t="s">
        <v>8</v>
      </c>
      <c r="C634" t="s">
        <v>9</v>
      </c>
      <c r="D634">
        <v>1032.0899999999999</v>
      </c>
      <c r="E634">
        <v>12</v>
      </c>
      <c r="F634">
        <v>3.9</v>
      </c>
      <c r="G634" t="b">
        <v>1</v>
      </c>
      <c r="H634">
        <f>(Table1[[#This Row],[price]]*Table1[[#This Row],[units_sold]])</f>
        <v>12385.079999999998</v>
      </c>
      <c r="I634" t="str">
        <f>IF(Table1[[#This Row],[in_stock]]=TRUE,"Available","Out of stock")</f>
        <v>Available</v>
      </c>
      <c r="J634" t="str">
        <f>IF(Table1[[#This Row],[rating]]&gt;=4,"High",IF(Table1[[#This Row],[rating]]&gt;=2.5,"Medium","Low"))</f>
        <v>Medium</v>
      </c>
      <c r="K634" t="str">
        <f>IF(Table1[[#This Row],[price]]&lt;200,"Budget",IF(Table1[[#This Row],[price]]&lt;600,"Mid-Range",IF(Table1[[#This Row],[price]]&lt;1000,"Premium","Luxury")))</f>
        <v>Luxury</v>
      </c>
      <c r="L634" t="str">
        <f>IF(Table1[[#This Row],[units_sold]]&lt;50,"Very Low",IF(Table1[[#This Row],[units_sold]]&lt;150,"Low",IF(Table1[[#This Row],[units_sold]]&lt;300,"Medium","High")))</f>
        <v>Very Low</v>
      </c>
      <c r="M634" t="str">
        <f t="shared" si="19"/>
        <v>Normal</v>
      </c>
      <c r="N634">
        <f>(Table1[[#This Row],[price]]*0.7)</f>
        <v>722.46299999999985</v>
      </c>
    </row>
    <row r="635" spans="1:14" x14ac:dyDescent="0.35">
      <c r="A635" t="str">
        <f t="shared" si="18"/>
        <v>P634</v>
      </c>
      <c r="B635" t="s">
        <v>11</v>
      </c>
      <c r="C635" t="s">
        <v>9</v>
      </c>
      <c r="D635">
        <v>35.9</v>
      </c>
      <c r="E635">
        <v>395</v>
      </c>
      <c r="F635">
        <v>4</v>
      </c>
      <c r="G635" t="b">
        <v>1</v>
      </c>
      <c r="H635">
        <f>(Table1[[#This Row],[price]]*Table1[[#This Row],[units_sold]])</f>
        <v>14180.5</v>
      </c>
      <c r="I635" t="str">
        <f>IF(Table1[[#This Row],[in_stock]]=TRUE,"Available","Out of stock")</f>
        <v>Available</v>
      </c>
      <c r="J635" t="str">
        <f>IF(Table1[[#This Row],[rating]]&gt;=4,"High",IF(Table1[[#This Row],[rating]]&gt;=2.5,"Medium","Low"))</f>
        <v>High</v>
      </c>
      <c r="K635" t="str">
        <f>IF(Table1[[#This Row],[price]]&lt;200,"Budget",IF(Table1[[#This Row],[price]]&lt;600,"Mid-Range",IF(Table1[[#This Row],[price]]&lt;1000,"Premium","Luxury")))</f>
        <v>Budget</v>
      </c>
      <c r="L635" t="str">
        <f>IF(Table1[[#This Row],[units_sold]]&lt;50,"Very Low",IF(Table1[[#This Row],[units_sold]]&lt;150,"Low",IF(Table1[[#This Row],[units_sold]]&lt;300,"Medium","High")))</f>
        <v>High</v>
      </c>
      <c r="M635" t="str">
        <f t="shared" si="19"/>
        <v>Normal</v>
      </c>
      <c r="N635">
        <f>(Table1[[#This Row],[price]]*0.7)</f>
        <v>25.13</v>
      </c>
    </row>
    <row r="636" spans="1:14" x14ac:dyDescent="0.35">
      <c r="A636" t="str">
        <f t="shared" si="18"/>
        <v>P635</v>
      </c>
      <c r="B636" t="s">
        <v>10</v>
      </c>
      <c r="C636" t="s">
        <v>9</v>
      </c>
      <c r="D636">
        <v>491.46</v>
      </c>
      <c r="E636">
        <v>302</v>
      </c>
      <c r="F636">
        <v>1.4</v>
      </c>
      <c r="G636" t="b">
        <v>1</v>
      </c>
      <c r="H636">
        <f>(Table1[[#This Row],[price]]*Table1[[#This Row],[units_sold]])</f>
        <v>148420.91999999998</v>
      </c>
      <c r="I636" t="str">
        <f>IF(Table1[[#This Row],[in_stock]]=TRUE,"Available","Out of stock")</f>
        <v>Available</v>
      </c>
      <c r="J636" t="str">
        <f>IF(Table1[[#This Row],[rating]]&gt;=4,"High",IF(Table1[[#This Row],[rating]]&gt;=2.5,"Medium","Low"))</f>
        <v>Low</v>
      </c>
      <c r="K636" t="str">
        <f>IF(Table1[[#This Row],[price]]&lt;200,"Budget",IF(Table1[[#This Row],[price]]&lt;600,"Mid-Range",IF(Table1[[#This Row],[price]]&lt;1000,"Premium","Luxury")))</f>
        <v>Mid-Range</v>
      </c>
      <c r="L636" t="str">
        <f>IF(Table1[[#This Row],[units_sold]]&lt;50,"Very Low",IF(Table1[[#This Row],[units_sold]]&lt;150,"Low",IF(Table1[[#This Row],[units_sold]]&lt;300,"Medium","High")))</f>
        <v>High</v>
      </c>
      <c r="M636" t="str">
        <f t="shared" si="19"/>
        <v>Normal</v>
      </c>
      <c r="N636">
        <f>(Table1[[#This Row],[price]]*0.7)</f>
        <v>344.02199999999999</v>
      </c>
    </row>
    <row r="637" spans="1:14" x14ac:dyDescent="0.35">
      <c r="A637" t="str">
        <f t="shared" si="18"/>
        <v>P636</v>
      </c>
      <c r="B637" t="s">
        <v>6</v>
      </c>
      <c r="C637" t="s">
        <v>7</v>
      </c>
      <c r="D637">
        <v>1459.92</v>
      </c>
      <c r="E637">
        <v>375</v>
      </c>
      <c r="F637">
        <v>3.1</v>
      </c>
      <c r="G637" t="b">
        <v>1</v>
      </c>
      <c r="H637">
        <f>(Table1[[#This Row],[price]]*Table1[[#This Row],[units_sold]])</f>
        <v>547470</v>
      </c>
      <c r="I637" t="str">
        <f>IF(Table1[[#This Row],[in_stock]]=TRUE,"Available","Out of stock")</f>
        <v>Available</v>
      </c>
      <c r="J637" t="str">
        <f>IF(Table1[[#This Row],[rating]]&gt;=4,"High",IF(Table1[[#This Row],[rating]]&gt;=2.5,"Medium","Low"))</f>
        <v>Medium</v>
      </c>
      <c r="K637" t="str">
        <f>IF(Table1[[#This Row],[price]]&lt;200,"Budget",IF(Table1[[#This Row],[price]]&lt;600,"Mid-Range",IF(Table1[[#This Row],[price]]&lt;1000,"Premium","Luxury")))</f>
        <v>Luxury</v>
      </c>
      <c r="L637" t="str">
        <f>IF(Table1[[#This Row],[units_sold]]&lt;50,"Very Low",IF(Table1[[#This Row],[units_sold]]&lt;150,"Low",IF(Table1[[#This Row],[units_sold]]&lt;300,"Medium","High")))</f>
        <v>High</v>
      </c>
      <c r="M637" t="str">
        <f t="shared" si="19"/>
        <v>Normal</v>
      </c>
      <c r="N637">
        <f>(Table1[[#This Row],[price]]*0.7)</f>
        <v>1021.944</v>
      </c>
    </row>
    <row r="638" spans="1:14" x14ac:dyDescent="0.35">
      <c r="A638" t="str">
        <f t="shared" si="18"/>
        <v>P637</v>
      </c>
      <c r="B638" t="s">
        <v>11</v>
      </c>
      <c r="C638" t="s">
        <v>9</v>
      </c>
      <c r="D638">
        <v>874.37</v>
      </c>
      <c r="E638">
        <v>16</v>
      </c>
      <c r="F638">
        <v>3</v>
      </c>
      <c r="G638" t="b">
        <v>1</v>
      </c>
      <c r="H638">
        <f>(Table1[[#This Row],[price]]*Table1[[#This Row],[units_sold]])</f>
        <v>13989.92</v>
      </c>
      <c r="I638" t="str">
        <f>IF(Table1[[#This Row],[in_stock]]=TRUE,"Available","Out of stock")</f>
        <v>Available</v>
      </c>
      <c r="J638" t="str">
        <f>IF(Table1[[#This Row],[rating]]&gt;=4,"High",IF(Table1[[#This Row],[rating]]&gt;=2.5,"Medium","Low"))</f>
        <v>Medium</v>
      </c>
      <c r="K638" t="str">
        <f>IF(Table1[[#This Row],[price]]&lt;200,"Budget",IF(Table1[[#This Row],[price]]&lt;600,"Mid-Range",IF(Table1[[#This Row],[price]]&lt;1000,"Premium","Luxury")))</f>
        <v>Premium</v>
      </c>
      <c r="L638" t="str">
        <f>IF(Table1[[#This Row],[units_sold]]&lt;50,"Very Low",IF(Table1[[#This Row],[units_sold]]&lt;150,"Low",IF(Table1[[#This Row],[units_sold]]&lt;300,"Medium","High")))</f>
        <v>Very Low</v>
      </c>
      <c r="M638" t="str">
        <f t="shared" si="19"/>
        <v>Normal</v>
      </c>
      <c r="N638">
        <f>(Table1[[#This Row],[price]]*0.7)</f>
        <v>612.05899999999997</v>
      </c>
    </row>
    <row r="639" spans="1:14" x14ac:dyDescent="0.35">
      <c r="A639" t="str">
        <f t="shared" si="18"/>
        <v>P638</v>
      </c>
      <c r="B639" t="s">
        <v>12</v>
      </c>
      <c r="C639" t="s">
        <v>7</v>
      </c>
      <c r="D639">
        <v>388.79</v>
      </c>
      <c r="E639">
        <v>129</v>
      </c>
      <c r="F639">
        <v>2.5</v>
      </c>
      <c r="G639" t="b">
        <v>1</v>
      </c>
      <c r="H639">
        <f>(Table1[[#This Row],[price]]*Table1[[#This Row],[units_sold]])</f>
        <v>50153.91</v>
      </c>
      <c r="I639" t="str">
        <f>IF(Table1[[#This Row],[in_stock]]=TRUE,"Available","Out of stock")</f>
        <v>Available</v>
      </c>
      <c r="J639" t="str">
        <f>IF(Table1[[#This Row],[rating]]&gt;=4,"High",IF(Table1[[#This Row],[rating]]&gt;=2.5,"Medium","Low"))</f>
        <v>Medium</v>
      </c>
      <c r="K639" t="str">
        <f>IF(Table1[[#This Row],[price]]&lt;200,"Budget",IF(Table1[[#This Row],[price]]&lt;600,"Mid-Range",IF(Table1[[#This Row],[price]]&lt;1000,"Premium","Luxury")))</f>
        <v>Mid-Range</v>
      </c>
      <c r="L639" t="str">
        <f>IF(Table1[[#This Row],[units_sold]]&lt;50,"Very Low",IF(Table1[[#This Row],[units_sold]]&lt;150,"Low",IF(Table1[[#This Row],[units_sold]]&lt;300,"Medium","High")))</f>
        <v>Low</v>
      </c>
      <c r="M639" t="str">
        <f t="shared" si="19"/>
        <v>Normal</v>
      </c>
      <c r="N639">
        <f>(Table1[[#This Row],[price]]*0.7)</f>
        <v>272.15300000000002</v>
      </c>
    </row>
    <row r="640" spans="1:14" x14ac:dyDescent="0.35">
      <c r="A640" t="str">
        <f t="shared" si="18"/>
        <v>P639</v>
      </c>
      <c r="B640" t="s">
        <v>14</v>
      </c>
      <c r="C640" t="s">
        <v>9</v>
      </c>
      <c r="D640">
        <v>787.38</v>
      </c>
      <c r="E640">
        <v>63</v>
      </c>
      <c r="F640">
        <v>4.7</v>
      </c>
      <c r="G640" t="b">
        <v>1</v>
      </c>
      <c r="H640">
        <f>(Table1[[#This Row],[price]]*Table1[[#This Row],[units_sold]])</f>
        <v>49604.94</v>
      </c>
      <c r="I640" t="str">
        <f>IF(Table1[[#This Row],[in_stock]]=TRUE,"Available","Out of stock")</f>
        <v>Available</v>
      </c>
      <c r="J640" t="str">
        <f>IF(Table1[[#This Row],[rating]]&gt;=4,"High",IF(Table1[[#This Row],[rating]]&gt;=2.5,"Medium","Low"))</f>
        <v>High</v>
      </c>
      <c r="K640" t="str">
        <f>IF(Table1[[#This Row],[price]]&lt;200,"Budget",IF(Table1[[#This Row],[price]]&lt;600,"Mid-Range",IF(Table1[[#This Row],[price]]&lt;1000,"Premium","Luxury")))</f>
        <v>Premium</v>
      </c>
      <c r="L640" t="str">
        <f>IF(Table1[[#This Row],[units_sold]]&lt;50,"Very Low",IF(Table1[[#This Row],[units_sold]]&lt;150,"Low",IF(Table1[[#This Row],[units_sold]]&lt;300,"Medium","High")))</f>
        <v>Low</v>
      </c>
      <c r="M640" t="str">
        <f t="shared" si="19"/>
        <v>Normal</v>
      </c>
      <c r="N640">
        <f>(Table1[[#This Row],[price]]*0.7)</f>
        <v>551.16599999999994</v>
      </c>
    </row>
    <row r="641" spans="1:14" x14ac:dyDescent="0.35">
      <c r="A641" t="str">
        <f t="shared" si="18"/>
        <v>P640</v>
      </c>
      <c r="B641" t="s">
        <v>6</v>
      </c>
      <c r="C641" t="s">
        <v>7</v>
      </c>
      <c r="D641">
        <v>520.54999999999995</v>
      </c>
      <c r="E641">
        <v>109</v>
      </c>
      <c r="F641">
        <v>4.3</v>
      </c>
      <c r="G641" t="b">
        <v>1</v>
      </c>
      <c r="H641">
        <f>(Table1[[#This Row],[price]]*Table1[[#This Row],[units_sold]])</f>
        <v>56739.95</v>
      </c>
      <c r="I641" t="str">
        <f>IF(Table1[[#This Row],[in_stock]]=TRUE,"Available","Out of stock")</f>
        <v>Available</v>
      </c>
      <c r="J641" t="str">
        <f>IF(Table1[[#This Row],[rating]]&gt;=4,"High",IF(Table1[[#This Row],[rating]]&gt;=2.5,"Medium","Low"))</f>
        <v>High</v>
      </c>
      <c r="K641" t="str">
        <f>IF(Table1[[#This Row],[price]]&lt;200,"Budget",IF(Table1[[#This Row],[price]]&lt;600,"Mid-Range",IF(Table1[[#This Row],[price]]&lt;1000,"Premium","Luxury")))</f>
        <v>Mid-Range</v>
      </c>
      <c r="L641" t="str">
        <f>IF(Table1[[#This Row],[units_sold]]&lt;50,"Very Low",IF(Table1[[#This Row],[units_sold]]&lt;150,"Low",IF(Table1[[#This Row],[units_sold]]&lt;300,"Medium","High")))</f>
        <v>Low</v>
      </c>
      <c r="M641" t="str">
        <f t="shared" si="19"/>
        <v>Normal</v>
      </c>
      <c r="N641">
        <f>(Table1[[#This Row],[price]]*0.7)</f>
        <v>364.38499999999993</v>
      </c>
    </row>
    <row r="642" spans="1:14" x14ac:dyDescent="0.35">
      <c r="A642" t="str">
        <f t="shared" ref="A642:A705" si="20">"P"&amp;TEXT(ROW()-1,"000")</f>
        <v>P641</v>
      </c>
      <c r="B642" t="s">
        <v>16</v>
      </c>
      <c r="C642" t="s">
        <v>9</v>
      </c>
      <c r="D642">
        <v>803.05</v>
      </c>
      <c r="E642">
        <v>375</v>
      </c>
      <c r="F642">
        <v>3.8</v>
      </c>
      <c r="G642" t="b">
        <v>0</v>
      </c>
      <c r="H642">
        <f>(Table1[[#This Row],[price]]*Table1[[#This Row],[units_sold]])</f>
        <v>301143.75</v>
      </c>
      <c r="I642" t="str">
        <f>IF(Table1[[#This Row],[in_stock]]=TRUE,"Available","Out of stock")</f>
        <v>Out of stock</v>
      </c>
      <c r="J642" t="str">
        <f>IF(Table1[[#This Row],[rating]]&gt;=4,"High",IF(Table1[[#This Row],[rating]]&gt;=2.5,"Medium","Low"))</f>
        <v>Medium</v>
      </c>
      <c r="K642" t="str">
        <f>IF(Table1[[#This Row],[price]]&lt;200,"Budget",IF(Table1[[#This Row],[price]]&lt;600,"Mid-Range",IF(Table1[[#This Row],[price]]&lt;1000,"Premium","Luxury")))</f>
        <v>Premium</v>
      </c>
      <c r="L642" t="str">
        <f>IF(Table1[[#This Row],[units_sold]]&lt;50,"Very Low",IF(Table1[[#This Row],[units_sold]]&lt;150,"Low",IF(Table1[[#This Row],[units_sold]]&lt;300,"Medium","High")))</f>
        <v>High</v>
      </c>
      <c r="M642" t="str">
        <f t="shared" ref="M642:M705" si="21">IF(AND(E642&gt;300,G642=FALSE),"High Demand - Out of Stock","Normal")</f>
        <v>High Demand - Out of Stock</v>
      </c>
      <c r="N642">
        <f>(Table1[[#This Row],[price]]*0.7)</f>
        <v>562.13499999999988</v>
      </c>
    </row>
    <row r="643" spans="1:14" x14ac:dyDescent="0.35">
      <c r="A643" t="str">
        <f t="shared" si="20"/>
        <v>P642</v>
      </c>
      <c r="B643" t="s">
        <v>15</v>
      </c>
      <c r="C643" t="s">
        <v>7</v>
      </c>
      <c r="D643">
        <v>197.35</v>
      </c>
      <c r="E643">
        <v>21</v>
      </c>
      <c r="F643">
        <v>3.9</v>
      </c>
      <c r="G643" t="b">
        <v>0</v>
      </c>
      <c r="H643">
        <f>(Table1[[#This Row],[price]]*Table1[[#This Row],[units_sold]])</f>
        <v>4144.3499999999995</v>
      </c>
      <c r="I643" t="str">
        <f>IF(Table1[[#This Row],[in_stock]]=TRUE,"Available","Out of stock")</f>
        <v>Out of stock</v>
      </c>
      <c r="J643" t="str">
        <f>IF(Table1[[#This Row],[rating]]&gt;=4,"High",IF(Table1[[#This Row],[rating]]&gt;=2.5,"Medium","Low"))</f>
        <v>Medium</v>
      </c>
      <c r="K643" t="str">
        <f>IF(Table1[[#This Row],[price]]&lt;200,"Budget",IF(Table1[[#This Row],[price]]&lt;600,"Mid-Range",IF(Table1[[#This Row],[price]]&lt;1000,"Premium","Luxury")))</f>
        <v>Budget</v>
      </c>
      <c r="L643" t="str">
        <f>IF(Table1[[#This Row],[units_sold]]&lt;50,"Very Low",IF(Table1[[#This Row],[units_sold]]&lt;150,"Low",IF(Table1[[#This Row],[units_sold]]&lt;300,"Medium","High")))</f>
        <v>Very Low</v>
      </c>
      <c r="M643" t="str">
        <f t="shared" si="21"/>
        <v>Normal</v>
      </c>
      <c r="N643">
        <f>(Table1[[#This Row],[price]]*0.7)</f>
        <v>138.14499999999998</v>
      </c>
    </row>
    <row r="644" spans="1:14" x14ac:dyDescent="0.35">
      <c r="A644" t="str">
        <f t="shared" si="20"/>
        <v>P643</v>
      </c>
      <c r="B644" t="s">
        <v>16</v>
      </c>
      <c r="C644" t="s">
        <v>9</v>
      </c>
      <c r="D644">
        <v>207.74</v>
      </c>
      <c r="E644">
        <v>158</v>
      </c>
      <c r="F644">
        <v>2.8</v>
      </c>
      <c r="G644" t="b">
        <v>1</v>
      </c>
      <c r="H644">
        <f>(Table1[[#This Row],[price]]*Table1[[#This Row],[units_sold]])</f>
        <v>32822.92</v>
      </c>
      <c r="I644" t="str">
        <f>IF(Table1[[#This Row],[in_stock]]=TRUE,"Available","Out of stock")</f>
        <v>Available</v>
      </c>
      <c r="J644" t="str">
        <f>IF(Table1[[#This Row],[rating]]&gt;=4,"High",IF(Table1[[#This Row],[rating]]&gt;=2.5,"Medium","Low"))</f>
        <v>Medium</v>
      </c>
      <c r="K644" t="str">
        <f>IF(Table1[[#This Row],[price]]&lt;200,"Budget",IF(Table1[[#This Row],[price]]&lt;600,"Mid-Range",IF(Table1[[#This Row],[price]]&lt;1000,"Premium","Luxury")))</f>
        <v>Mid-Range</v>
      </c>
      <c r="L644" t="str">
        <f>IF(Table1[[#This Row],[units_sold]]&lt;50,"Very Low",IF(Table1[[#This Row],[units_sold]]&lt;150,"Low",IF(Table1[[#This Row],[units_sold]]&lt;300,"Medium","High")))</f>
        <v>Medium</v>
      </c>
      <c r="M644" t="str">
        <f t="shared" si="21"/>
        <v>Normal</v>
      </c>
      <c r="N644">
        <f>(Table1[[#This Row],[price]]*0.7)</f>
        <v>145.41800000000001</v>
      </c>
    </row>
    <row r="645" spans="1:14" x14ac:dyDescent="0.35">
      <c r="A645" t="str">
        <f t="shared" si="20"/>
        <v>P644</v>
      </c>
      <c r="B645" t="s">
        <v>11</v>
      </c>
      <c r="C645" t="s">
        <v>9</v>
      </c>
      <c r="D645">
        <v>223.88</v>
      </c>
      <c r="E645">
        <v>269</v>
      </c>
      <c r="F645">
        <v>4.7</v>
      </c>
      <c r="G645" t="b">
        <v>1</v>
      </c>
      <c r="H645">
        <f>(Table1[[#This Row],[price]]*Table1[[#This Row],[units_sold]])</f>
        <v>60223.72</v>
      </c>
      <c r="I645" t="str">
        <f>IF(Table1[[#This Row],[in_stock]]=TRUE,"Available","Out of stock")</f>
        <v>Available</v>
      </c>
      <c r="J645" t="str">
        <f>IF(Table1[[#This Row],[rating]]&gt;=4,"High",IF(Table1[[#This Row],[rating]]&gt;=2.5,"Medium","Low"))</f>
        <v>High</v>
      </c>
      <c r="K645" t="str">
        <f>IF(Table1[[#This Row],[price]]&lt;200,"Budget",IF(Table1[[#This Row],[price]]&lt;600,"Mid-Range",IF(Table1[[#This Row],[price]]&lt;1000,"Premium","Luxury")))</f>
        <v>Mid-Range</v>
      </c>
      <c r="L645" t="str">
        <f>IF(Table1[[#This Row],[units_sold]]&lt;50,"Very Low",IF(Table1[[#This Row],[units_sold]]&lt;150,"Low",IF(Table1[[#This Row],[units_sold]]&lt;300,"Medium","High")))</f>
        <v>Medium</v>
      </c>
      <c r="M645" t="str">
        <f t="shared" si="21"/>
        <v>Normal</v>
      </c>
      <c r="N645">
        <f>(Table1[[#This Row],[price]]*0.7)</f>
        <v>156.71599999999998</v>
      </c>
    </row>
    <row r="646" spans="1:14" x14ac:dyDescent="0.35">
      <c r="A646" t="str">
        <f t="shared" si="20"/>
        <v>P645</v>
      </c>
      <c r="B646" t="s">
        <v>16</v>
      </c>
      <c r="C646" t="s">
        <v>9</v>
      </c>
      <c r="D646">
        <v>1410.33</v>
      </c>
      <c r="E646">
        <v>162</v>
      </c>
      <c r="F646">
        <v>3.8</v>
      </c>
      <c r="G646" t="b">
        <v>0</v>
      </c>
      <c r="H646">
        <f>(Table1[[#This Row],[price]]*Table1[[#This Row],[units_sold]])</f>
        <v>228473.46</v>
      </c>
      <c r="I646" t="str">
        <f>IF(Table1[[#This Row],[in_stock]]=TRUE,"Available","Out of stock")</f>
        <v>Out of stock</v>
      </c>
      <c r="J646" t="str">
        <f>IF(Table1[[#This Row],[rating]]&gt;=4,"High",IF(Table1[[#This Row],[rating]]&gt;=2.5,"Medium","Low"))</f>
        <v>Medium</v>
      </c>
      <c r="K646" t="str">
        <f>IF(Table1[[#This Row],[price]]&lt;200,"Budget",IF(Table1[[#This Row],[price]]&lt;600,"Mid-Range",IF(Table1[[#This Row],[price]]&lt;1000,"Premium","Luxury")))</f>
        <v>Luxury</v>
      </c>
      <c r="L646" t="str">
        <f>IF(Table1[[#This Row],[units_sold]]&lt;50,"Very Low",IF(Table1[[#This Row],[units_sold]]&lt;150,"Low",IF(Table1[[#This Row],[units_sold]]&lt;300,"Medium","High")))</f>
        <v>Medium</v>
      </c>
      <c r="M646" t="str">
        <f t="shared" si="21"/>
        <v>Normal</v>
      </c>
      <c r="N646">
        <f>(Table1[[#This Row],[price]]*0.7)</f>
        <v>987.23099999999988</v>
      </c>
    </row>
    <row r="647" spans="1:14" x14ac:dyDescent="0.35">
      <c r="A647" t="str">
        <f t="shared" si="20"/>
        <v>P646</v>
      </c>
      <c r="B647" t="s">
        <v>12</v>
      </c>
      <c r="C647" t="s">
        <v>7</v>
      </c>
      <c r="D647">
        <v>1102.02</v>
      </c>
      <c r="E647">
        <v>260</v>
      </c>
      <c r="F647">
        <v>3.9</v>
      </c>
      <c r="G647" t="b">
        <v>0</v>
      </c>
      <c r="H647">
        <f>(Table1[[#This Row],[price]]*Table1[[#This Row],[units_sold]])</f>
        <v>286525.2</v>
      </c>
      <c r="I647" t="str">
        <f>IF(Table1[[#This Row],[in_stock]]=TRUE,"Available","Out of stock")</f>
        <v>Out of stock</v>
      </c>
      <c r="J647" t="str">
        <f>IF(Table1[[#This Row],[rating]]&gt;=4,"High",IF(Table1[[#This Row],[rating]]&gt;=2.5,"Medium","Low"))</f>
        <v>Medium</v>
      </c>
      <c r="K647" t="str">
        <f>IF(Table1[[#This Row],[price]]&lt;200,"Budget",IF(Table1[[#This Row],[price]]&lt;600,"Mid-Range",IF(Table1[[#This Row],[price]]&lt;1000,"Premium","Luxury")))</f>
        <v>Luxury</v>
      </c>
      <c r="L647" t="str">
        <f>IF(Table1[[#This Row],[units_sold]]&lt;50,"Very Low",IF(Table1[[#This Row],[units_sold]]&lt;150,"Low",IF(Table1[[#This Row],[units_sold]]&lt;300,"Medium","High")))</f>
        <v>Medium</v>
      </c>
      <c r="M647" t="str">
        <f t="shared" si="21"/>
        <v>Normal</v>
      </c>
      <c r="N647">
        <f>(Table1[[#This Row],[price]]*0.7)</f>
        <v>771.41399999999999</v>
      </c>
    </row>
    <row r="648" spans="1:14" x14ac:dyDescent="0.35">
      <c r="A648" t="str">
        <f t="shared" si="20"/>
        <v>P647</v>
      </c>
      <c r="B648" t="s">
        <v>10</v>
      </c>
      <c r="C648" t="s">
        <v>9</v>
      </c>
      <c r="D648">
        <v>251.95</v>
      </c>
      <c r="E648">
        <v>412</v>
      </c>
      <c r="F648">
        <v>4.4000000000000004</v>
      </c>
      <c r="G648" t="b">
        <v>1</v>
      </c>
      <c r="H648">
        <f>(Table1[[#This Row],[price]]*Table1[[#This Row],[units_sold]])</f>
        <v>103803.4</v>
      </c>
      <c r="I648" t="str">
        <f>IF(Table1[[#This Row],[in_stock]]=TRUE,"Available","Out of stock")</f>
        <v>Available</v>
      </c>
      <c r="J648" t="str">
        <f>IF(Table1[[#This Row],[rating]]&gt;=4,"High",IF(Table1[[#This Row],[rating]]&gt;=2.5,"Medium","Low"))</f>
        <v>High</v>
      </c>
      <c r="K648" t="str">
        <f>IF(Table1[[#This Row],[price]]&lt;200,"Budget",IF(Table1[[#This Row],[price]]&lt;600,"Mid-Range",IF(Table1[[#This Row],[price]]&lt;1000,"Premium","Luxury")))</f>
        <v>Mid-Range</v>
      </c>
      <c r="L648" t="str">
        <f>IF(Table1[[#This Row],[units_sold]]&lt;50,"Very Low",IF(Table1[[#This Row],[units_sold]]&lt;150,"Low",IF(Table1[[#This Row],[units_sold]]&lt;300,"Medium","High")))</f>
        <v>High</v>
      </c>
      <c r="M648" t="str">
        <f t="shared" si="21"/>
        <v>Normal</v>
      </c>
      <c r="N648">
        <f>(Table1[[#This Row],[price]]*0.7)</f>
        <v>176.36499999999998</v>
      </c>
    </row>
    <row r="649" spans="1:14" x14ac:dyDescent="0.35">
      <c r="A649" t="str">
        <f t="shared" si="20"/>
        <v>P648</v>
      </c>
      <c r="B649" t="s">
        <v>8</v>
      </c>
      <c r="C649" t="s">
        <v>9</v>
      </c>
      <c r="D649">
        <v>290.64</v>
      </c>
      <c r="E649">
        <v>102</v>
      </c>
      <c r="F649">
        <v>2.1</v>
      </c>
      <c r="G649" t="b">
        <v>1</v>
      </c>
      <c r="H649">
        <f>(Table1[[#This Row],[price]]*Table1[[#This Row],[units_sold]])</f>
        <v>29645.279999999999</v>
      </c>
      <c r="I649" t="str">
        <f>IF(Table1[[#This Row],[in_stock]]=TRUE,"Available","Out of stock")</f>
        <v>Available</v>
      </c>
      <c r="J649" t="str">
        <f>IF(Table1[[#This Row],[rating]]&gt;=4,"High",IF(Table1[[#This Row],[rating]]&gt;=2.5,"Medium","Low"))</f>
        <v>Low</v>
      </c>
      <c r="K649" t="str">
        <f>IF(Table1[[#This Row],[price]]&lt;200,"Budget",IF(Table1[[#This Row],[price]]&lt;600,"Mid-Range",IF(Table1[[#This Row],[price]]&lt;1000,"Premium","Luxury")))</f>
        <v>Mid-Range</v>
      </c>
      <c r="L649" t="str">
        <f>IF(Table1[[#This Row],[units_sold]]&lt;50,"Very Low",IF(Table1[[#This Row],[units_sold]]&lt;150,"Low",IF(Table1[[#This Row],[units_sold]]&lt;300,"Medium","High")))</f>
        <v>Low</v>
      </c>
      <c r="M649" t="str">
        <f t="shared" si="21"/>
        <v>Normal</v>
      </c>
      <c r="N649">
        <f>(Table1[[#This Row],[price]]*0.7)</f>
        <v>203.44799999999998</v>
      </c>
    </row>
    <row r="650" spans="1:14" x14ac:dyDescent="0.35">
      <c r="A650" t="str">
        <f t="shared" si="20"/>
        <v>P649</v>
      </c>
      <c r="B650" t="s">
        <v>15</v>
      </c>
      <c r="C650" t="s">
        <v>7</v>
      </c>
      <c r="D650">
        <v>1098.94</v>
      </c>
      <c r="E650">
        <v>223</v>
      </c>
      <c r="F650">
        <v>4.2</v>
      </c>
      <c r="G650" t="b">
        <v>1</v>
      </c>
      <c r="H650">
        <f>(Table1[[#This Row],[price]]*Table1[[#This Row],[units_sold]])</f>
        <v>245063.62000000002</v>
      </c>
      <c r="I650" t="str">
        <f>IF(Table1[[#This Row],[in_stock]]=TRUE,"Available","Out of stock")</f>
        <v>Available</v>
      </c>
      <c r="J650" t="str">
        <f>IF(Table1[[#This Row],[rating]]&gt;=4,"High",IF(Table1[[#This Row],[rating]]&gt;=2.5,"Medium","Low"))</f>
        <v>High</v>
      </c>
      <c r="K650" t="str">
        <f>IF(Table1[[#This Row],[price]]&lt;200,"Budget",IF(Table1[[#This Row],[price]]&lt;600,"Mid-Range",IF(Table1[[#This Row],[price]]&lt;1000,"Premium","Luxury")))</f>
        <v>Luxury</v>
      </c>
      <c r="L650" t="str">
        <f>IF(Table1[[#This Row],[units_sold]]&lt;50,"Very Low",IF(Table1[[#This Row],[units_sold]]&lt;150,"Low",IF(Table1[[#This Row],[units_sold]]&lt;300,"Medium","High")))</f>
        <v>Medium</v>
      </c>
      <c r="M650" t="str">
        <f t="shared" si="21"/>
        <v>Normal</v>
      </c>
      <c r="N650">
        <f>(Table1[[#This Row],[price]]*0.7)</f>
        <v>769.25800000000004</v>
      </c>
    </row>
    <row r="651" spans="1:14" x14ac:dyDescent="0.35">
      <c r="A651" t="str">
        <f t="shared" si="20"/>
        <v>P650</v>
      </c>
      <c r="B651" t="s">
        <v>16</v>
      </c>
      <c r="C651" t="s">
        <v>9</v>
      </c>
      <c r="D651">
        <v>242.68</v>
      </c>
      <c r="E651">
        <v>59</v>
      </c>
      <c r="F651">
        <v>1.8</v>
      </c>
      <c r="G651" t="b">
        <v>1</v>
      </c>
      <c r="H651">
        <f>(Table1[[#This Row],[price]]*Table1[[#This Row],[units_sold]])</f>
        <v>14318.12</v>
      </c>
      <c r="I651" t="str">
        <f>IF(Table1[[#This Row],[in_stock]]=TRUE,"Available","Out of stock")</f>
        <v>Available</v>
      </c>
      <c r="J651" t="str">
        <f>IF(Table1[[#This Row],[rating]]&gt;=4,"High",IF(Table1[[#This Row],[rating]]&gt;=2.5,"Medium","Low"))</f>
        <v>Low</v>
      </c>
      <c r="K651" t="str">
        <f>IF(Table1[[#This Row],[price]]&lt;200,"Budget",IF(Table1[[#This Row],[price]]&lt;600,"Mid-Range",IF(Table1[[#This Row],[price]]&lt;1000,"Premium","Luxury")))</f>
        <v>Mid-Range</v>
      </c>
      <c r="L651" t="str">
        <f>IF(Table1[[#This Row],[units_sold]]&lt;50,"Very Low",IF(Table1[[#This Row],[units_sold]]&lt;150,"Low",IF(Table1[[#This Row],[units_sold]]&lt;300,"Medium","High")))</f>
        <v>Low</v>
      </c>
      <c r="M651" t="str">
        <f t="shared" si="21"/>
        <v>Normal</v>
      </c>
      <c r="N651">
        <f>(Table1[[#This Row],[price]]*0.7)</f>
        <v>169.876</v>
      </c>
    </row>
    <row r="652" spans="1:14" x14ac:dyDescent="0.35">
      <c r="A652" t="str">
        <f t="shared" si="20"/>
        <v>P651</v>
      </c>
      <c r="B652" t="s">
        <v>16</v>
      </c>
      <c r="C652" t="s">
        <v>9</v>
      </c>
      <c r="D652">
        <v>359.5</v>
      </c>
      <c r="E652">
        <v>247</v>
      </c>
      <c r="F652">
        <v>2.4</v>
      </c>
      <c r="G652" t="b">
        <v>1</v>
      </c>
      <c r="H652">
        <f>(Table1[[#This Row],[price]]*Table1[[#This Row],[units_sold]])</f>
        <v>88796.5</v>
      </c>
      <c r="I652" t="str">
        <f>IF(Table1[[#This Row],[in_stock]]=TRUE,"Available","Out of stock")</f>
        <v>Available</v>
      </c>
      <c r="J652" t="str">
        <f>IF(Table1[[#This Row],[rating]]&gt;=4,"High",IF(Table1[[#This Row],[rating]]&gt;=2.5,"Medium","Low"))</f>
        <v>Low</v>
      </c>
      <c r="K652" t="str">
        <f>IF(Table1[[#This Row],[price]]&lt;200,"Budget",IF(Table1[[#This Row],[price]]&lt;600,"Mid-Range",IF(Table1[[#This Row],[price]]&lt;1000,"Premium","Luxury")))</f>
        <v>Mid-Range</v>
      </c>
      <c r="L652" t="str">
        <f>IF(Table1[[#This Row],[units_sold]]&lt;50,"Very Low",IF(Table1[[#This Row],[units_sold]]&lt;150,"Low",IF(Table1[[#This Row],[units_sold]]&lt;300,"Medium","High")))</f>
        <v>Medium</v>
      </c>
      <c r="M652" t="str">
        <f t="shared" si="21"/>
        <v>Normal</v>
      </c>
      <c r="N652">
        <f>(Table1[[#This Row],[price]]*0.7)</f>
        <v>251.64999999999998</v>
      </c>
    </row>
    <row r="653" spans="1:14" x14ac:dyDescent="0.35">
      <c r="A653" t="str">
        <f t="shared" si="20"/>
        <v>P652</v>
      </c>
      <c r="B653" t="s">
        <v>11</v>
      </c>
      <c r="C653" t="s">
        <v>9</v>
      </c>
      <c r="D653">
        <v>1445.39</v>
      </c>
      <c r="E653">
        <v>128</v>
      </c>
      <c r="F653">
        <v>2.2999999999999998</v>
      </c>
      <c r="G653" t="b">
        <v>1</v>
      </c>
      <c r="H653">
        <f>(Table1[[#This Row],[price]]*Table1[[#This Row],[units_sold]])</f>
        <v>185009.92000000001</v>
      </c>
      <c r="I653" t="str">
        <f>IF(Table1[[#This Row],[in_stock]]=TRUE,"Available","Out of stock")</f>
        <v>Available</v>
      </c>
      <c r="J653" t="str">
        <f>IF(Table1[[#This Row],[rating]]&gt;=4,"High",IF(Table1[[#This Row],[rating]]&gt;=2.5,"Medium","Low"))</f>
        <v>Low</v>
      </c>
      <c r="K653" t="str">
        <f>IF(Table1[[#This Row],[price]]&lt;200,"Budget",IF(Table1[[#This Row],[price]]&lt;600,"Mid-Range",IF(Table1[[#This Row],[price]]&lt;1000,"Premium","Luxury")))</f>
        <v>Luxury</v>
      </c>
      <c r="L653" t="str">
        <f>IF(Table1[[#This Row],[units_sold]]&lt;50,"Very Low",IF(Table1[[#This Row],[units_sold]]&lt;150,"Low",IF(Table1[[#This Row],[units_sold]]&lt;300,"Medium","High")))</f>
        <v>Low</v>
      </c>
      <c r="M653" t="str">
        <f t="shared" si="21"/>
        <v>Normal</v>
      </c>
      <c r="N653">
        <f>(Table1[[#This Row],[price]]*0.7)</f>
        <v>1011.773</v>
      </c>
    </row>
    <row r="654" spans="1:14" x14ac:dyDescent="0.35">
      <c r="A654" t="str">
        <f t="shared" si="20"/>
        <v>P653</v>
      </c>
      <c r="B654" t="s">
        <v>8</v>
      </c>
      <c r="C654" t="s">
        <v>9</v>
      </c>
      <c r="D654">
        <v>390.41</v>
      </c>
      <c r="E654">
        <v>283</v>
      </c>
      <c r="F654">
        <v>4.9000000000000004</v>
      </c>
      <c r="G654" t="b">
        <v>1</v>
      </c>
      <c r="H654">
        <f>(Table1[[#This Row],[price]]*Table1[[#This Row],[units_sold]])</f>
        <v>110486.03000000001</v>
      </c>
      <c r="I654" t="str">
        <f>IF(Table1[[#This Row],[in_stock]]=TRUE,"Available","Out of stock")</f>
        <v>Available</v>
      </c>
      <c r="J654" t="str">
        <f>IF(Table1[[#This Row],[rating]]&gt;=4,"High",IF(Table1[[#This Row],[rating]]&gt;=2.5,"Medium","Low"))</f>
        <v>High</v>
      </c>
      <c r="K654" t="str">
        <f>IF(Table1[[#This Row],[price]]&lt;200,"Budget",IF(Table1[[#This Row],[price]]&lt;600,"Mid-Range",IF(Table1[[#This Row],[price]]&lt;1000,"Premium","Luxury")))</f>
        <v>Mid-Range</v>
      </c>
      <c r="L654" t="str">
        <f>IF(Table1[[#This Row],[units_sold]]&lt;50,"Very Low",IF(Table1[[#This Row],[units_sold]]&lt;150,"Low",IF(Table1[[#This Row],[units_sold]]&lt;300,"Medium","High")))</f>
        <v>Medium</v>
      </c>
      <c r="M654" t="str">
        <f t="shared" si="21"/>
        <v>Normal</v>
      </c>
      <c r="N654">
        <f>(Table1[[#This Row],[price]]*0.7)</f>
        <v>273.28699999999998</v>
      </c>
    </row>
    <row r="655" spans="1:14" x14ac:dyDescent="0.35">
      <c r="A655" t="str">
        <f t="shared" si="20"/>
        <v>P654</v>
      </c>
      <c r="B655" t="s">
        <v>13</v>
      </c>
      <c r="C655" t="s">
        <v>9</v>
      </c>
      <c r="D655">
        <v>995.83</v>
      </c>
      <c r="E655">
        <v>325</v>
      </c>
      <c r="F655">
        <v>4.4000000000000004</v>
      </c>
      <c r="G655" t="b">
        <v>1</v>
      </c>
      <c r="H655">
        <f>(Table1[[#This Row],[price]]*Table1[[#This Row],[units_sold]])</f>
        <v>323644.75</v>
      </c>
      <c r="I655" t="str">
        <f>IF(Table1[[#This Row],[in_stock]]=TRUE,"Available","Out of stock")</f>
        <v>Available</v>
      </c>
      <c r="J655" t="str">
        <f>IF(Table1[[#This Row],[rating]]&gt;=4,"High",IF(Table1[[#This Row],[rating]]&gt;=2.5,"Medium","Low"))</f>
        <v>High</v>
      </c>
      <c r="K655" t="str">
        <f>IF(Table1[[#This Row],[price]]&lt;200,"Budget",IF(Table1[[#This Row],[price]]&lt;600,"Mid-Range",IF(Table1[[#This Row],[price]]&lt;1000,"Premium","Luxury")))</f>
        <v>Premium</v>
      </c>
      <c r="L655" t="str">
        <f>IF(Table1[[#This Row],[units_sold]]&lt;50,"Very Low",IF(Table1[[#This Row],[units_sold]]&lt;150,"Low",IF(Table1[[#This Row],[units_sold]]&lt;300,"Medium","High")))</f>
        <v>High</v>
      </c>
      <c r="M655" t="str">
        <f t="shared" si="21"/>
        <v>Normal</v>
      </c>
      <c r="N655">
        <f>(Table1[[#This Row],[price]]*0.7)</f>
        <v>697.08100000000002</v>
      </c>
    </row>
    <row r="656" spans="1:14" x14ac:dyDescent="0.35">
      <c r="A656" t="str">
        <f t="shared" si="20"/>
        <v>P655</v>
      </c>
      <c r="B656" t="s">
        <v>16</v>
      </c>
      <c r="C656" t="s">
        <v>9</v>
      </c>
      <c r="D656">
        <v>1468.16</v>
      </c>
      <c r="E656">
        <v>25</v>
      </c>
      <c r="F656">
        <v>3.8</v>
      </c>
      <c r="G656" t="b">
        <v>1</v>
      </c>
      <c r="H656">
        <f>(Table1[[#This Row],[price]]*Table1[[#This Row],[units_sold]])</f>
        <v>36704</v>
      </c>
      <c r="I656" t="str">
        <f>IF(Table1[[#This Row],[in_stock]]=TRUE,"Available","Out of stock")</f>
        <v>Available</v>
      </c>
      <c r="J656" t="str">
        <f>IF(Table1[[#This Row],[rating]]&gt;=4,"High",IF(Table1[[#This Row],[rating]]&gt;=2.5,"Medium","Low"))</f>
        <v>Medium</v>
      </c>
      <c r="K656" t="str">
        <f>IF(Table1[[#This Row],[price]]&lt;200,"Budget",IF(Table1[[#This Row],[price]]&lt;600,"Mid-Range",IF(Table1[[#This Row],[price]]&lt;1000,"Premium","Luxury")))</f>
        <v>Luxury</v>
      </c>
      <c r="L656" t="str">
        <f>IF(Table1[[#This Row],[units_sold]]&lt;50,"Very Low",IF(Table1[[#This Row],[units_sold]]&lt;150,"Low",IF(Table1[[#This Row],[units_sold]]&lt;300,"Medium","High")))</f>
        <v>Very Low</v>
      </c>
      <c r="M656" t="str">
        <f t="shared" si="21"/>
        <v>Normal</v>
      </c>
      <c r="N656">
        <f>(Table1[[#This Row],[price]]*0.7)</f>
        <v>1027.712</v>
      </c>
    </row>
    <row r="657" spans="1:14" x14ac:dyDescent="0.35">
      <c r="A657" t="str">
        <f t="shared" si="20"/>
        <v>P656</v>
      </c>
      <c r="B657" t="s">
        <v>12</v>
      </c>
      <c r="C657" t="s">
        <v>7</v>
      </c>
      <c r="D657">
        <v>567.70000000000005</v>
      </c>
      <c r="E657">
        <v>131</v>
      </c>
      <c r="F657">
        <v>3.9</v>
      </c>
      <c r="G657" t="b">
        <v>1</v>
      </c>
      <c r="H657">
        <f>(Table1[[#This Row],[price]]*Table1[[#This Row],[units_sold]])</f>
        <v>74368.700000000012</v>
      </c>
      <c r="I657" t="str">
        <f>IF(Table1[[#This Row],[in_stock]]=TRUE,"Available","Out of stock")</f>
        <v>Available</v>
      </c>
      <c r="J657" t="str">
        <f>IF(Table1[[#This Row],[rating]]&gt;=4,"High",IF(Table1[[#This Row],[rating]]&gt;=2.5,"Medium","Low"))</f>
        <v>Medium</v>
      </c>
      <c r="K657" t="str">
        <f>IF(Table1[[#This Row],[price]]&lt;200,"Budget",IF(Table1[[#This Row],[price]]&lt;600,"Mid-Range",IF(Table1[[#This Row],[price]]&lt;1000,"Premium","Luxury")))</f>
        <v>Mid-Range</v>
      </c>
      <c r="L657" t="str">
        <f>IF(Table1[[#This Row],[units_sold]]&lt;50,"Very Low",IF(Table1[[#This Row],[units_sold]]&lt;150,"Low",IF(Table1[[#This Row],[units_sold]]&lt;300,"Medium","High")))</f>
        <v>Low</v>
      </c>
      <c r="M657" t="str">
        <f t="shared" si="21"/>
        <v>Normal</v>
      </c>
      <c r="N657">
        <f>(Table1[[#This Row],[price]]*0.7)</f>
        <v>397.39</v>
      </c>
    </row>
    <row r="658" spans="1:14" x14ac:dyDescent="0.35">
      <c r="A658" t="str">
        <f t="shared" si="20"/>
        <v>P657</v>
      </c>
      <c r="B658" t="s">
        <v>14</v>
      </c>
      <c r="C658" t="s">
        <v>9</v>
      </c>
      <c r="D658">
        <v>36.1</v>
      </c>
      <c r="E658">
        <v>353</v>
      </c>
      <c r="F658">
        <v>3.2</v>
      </c>
      <c r="G658" t="b">
        <v>1</v>
      </c>
      <c r="H658">
        <f>(Table1[[#This Row],[price]]*Table1[[#This Row],[units_sold]])</f>
        <v>12743.300000000001</v>
      </c>
      <c r="I658" t="str">
        <f>IF(Table1[[#This Row],[in_stock]]=TRUE,"Available","Out of stock")</f>
        <v>Available</v>
      </c>
      <c r="J658" t="str">
        <f>IF(Table1[[#This Row],[rating]]&gt;=4,"High",IF(Table1[[#This Row],[rating]]&gt;=2.5,"Medium","Low"))</f>
        <v>Medium</v>
      </c>
      <c r="K658" t="str">
        <f>IF(Table1[[#This Row],[price]]&lt;200,"Budget",IF(Table1[[#This Row],[price]]&lt;600,"Mid-Range",IF(Table1[[#This Row],[price]]&lt;1000,"Premium","Luxury")))</f>
        <v>Budget</v>
      </c>
      <c r="L658" t="str">
        <f>IF(Table1[[#This Row],[units_sold]]&lt;50,"Very Low",IF(Table1[[#This Row],[units_sold]]&lt;150,"Low",IF(Table1[[#This Row],[units_sold]]&lt;300,"Medium","High")))</f>
        <v>High</v>
      </c>
      <c r="M658" t="str">
        <f t="shared" si="21"/>
        <v>Normal</v>
      </c>
      <c r="N658">
        <f>(Table1[[#This Row],[price]]*0.7)</f>
        <v>25.27</v>
      </c>
    </row>
    <row r="659" spans="1:14" x14ac:dyDescent="0.35">
      <c r="A659" t="str">
        <f t="shared" si="20"/>
        <v>P658</v>
      </c>
      <c r="B659" t="s">
        <v>15</v>
      </c>
      <c r="C659" t="s">
        <v>7</v>
      </c>
      <c r="D659">
        <v>373.78</v>
      </c>
      <c r="E659">
        <v>196</v>
      </c>
      <c r="F659">
        <v>4.8</v>
      </c>
      <c r="G659" t="b">
        <v>1</v>
      </c>
      <c r="H659">
        <f>(Table1[[#This Row],[price]]*Table1[[#This Row],[units_sold]])</f>
        <v>73260.87999999999</v>
      </c>
      <c r="I659" t="str">
        <f>IF(Table1[[#This Row],[in_stock]]=TRUE,"Available","Out of stock")</f>
        <v>Available</v>
      </c>
      <c r="J659" t="str">
        <f>IF(Table1[[#This Row],[rating]]&gt;=4,"High",IF(Table1[[#This Row],[rating]]&gt;=2.5,"Medium","Low"))</f>
        <v>High</v>
      </c>
      <c r="K659" t="str">
        <f>IF(Table1[[#This Row],[price]]&lt;200,"Budget",IF(Table1[[#This Row],[price]]&lt;600,"Mid-Range",IF(Table1[[#This Row],[price]]&lt;1000,"Premium","Luxury")))</f>
        <v>Mid-Range</v>
      </c>
      <c r="L659" t="str">
        <f>IF(Table1[[#This Row],[units_sold]]&lt;50,"Very Low",IF(Table1[[#This Row],[units_sold]]&lt;150,"Low",IF(Table1[[#This Row],[units_sold]]&lt;300,"Medium","High")))</f>
        <v>Medium</v>
      </c>
      <c r="M659" t="str">
        <f t="shared" si="21"/>
        <v>Normal</v>
      </c>
      <c r="N659">
        <f>(Table1[[#This Row],[price]]*0.7)</f>
        <v>261.64599999999996</v>
      </c>
    </row>
    <row r="660" spans="1:14" x14ac:dyDescent="0.35">
      <c r="A660" t="str">
        <f t="shared" si="20"/>
        <v>P659</v>
      </c>
      <c r="B660" t="s">
        <v>16</v>
      </c>
      <c r="C660" t="s">
        <v>9</v>
      </c>
      <c r="D660">
        <v>1248.01</v>
      </c>
      <c r="E660">
        <v>281</v>
      </c>
      <c r="F660">
        <v>3</v>
      </c>
      <c r="G660" t="b">
        <v>1</v>
      </c>
      <c r="H660">
        <f>(Table1[[#This Row],[price]]*Table1[[#This Row],[units_sold]])</f>
        <v>350690.81</v>
      </c>
      <c r="I660" t="str">
        <f>IF(Table1[[#This Row],[in_stock]]=TRUE,"Available","Out of stock")</f>
        <v>Available</v>
      </c>
      <c r="J660" t="str">
        <f>IF(Table1[[#This Row],[rating]]&gt;=4,"High",IF(Table1[[#This Row],[rating]]&gt;=2.5,"Medium","Low"))</f>
        <v>Medium</v>
      </c>
      <c r="K660" t="str">
        <f>IF(Table1[[#This Row],[price]]&lt;200,"Budget",IF(Table1[[#This Row],[price]]&lt;600,"Mid-Range",IF(Table1[[#This Row],[price]]&lt;1000,"Premium","Luxury")))</f>
        <v>Luxury</v>
      </c>
      <c r="L660" t="str">
        <f>IF(Table1[[#This Row],[units_sold]]&lt;50,"Very Low",IF(Table1[[#This Row],[units_sold]]&lt;150,"Low",IF(Table1[[#This Row],[units_sold]]&lt;300,"Medium","High")))</f>
        <v>Medium</v>
      </c>
      <c r="M660" t="str">
        <f t="shared" si="21"/>
        <v>Normal</v>
      </c>
      <c r="N660">
        <f>(Table1[[#This Row],[price]]*0.7)</f>
        <v>873.60699999999997</v>
      </c>
    </row>
    <row r="661" spans="1:14" x14ac:dyDescent="0.35">
      <c r="A661" t="str">
        <f t="shared" si="20"/>
        <v>P660</v>
      </c>
      <c r="B661" t="s">
        <v>12</v>
      </c>
      <c r="C661" t="s">
        <v>7</v>
      </c>
      <c r="D661">
        <v>1298.27</v>
      </c>
      <c r="E661">
        <v>404</v>
      </c>
      <c r="F661">
        <v>2.5</v>
      </c>
      <c r="G661" t="b">
        <v>0</v>
      </c>
      <c r="H661">
        <f>(Table1[[#This Row],[price]]*Table1[[#This Row],[units_sold]])</f>
        <v>524501.07999999996</v>
      </c>
      <c r="I661" t="str">
        <f>IF(Table1[[#This Row],[in_stock]]=TRUE,"Available","Out of stock")</f>
        <v>Out of stock</v>
      </c>
      <c r="J661" t="str">
        <f>IF(Table1[[#This Row],[rating]]&gt;=4,"High",IF(Table1[[#This Row],[rating]]&gt;=2.5,"Medium","Low"))</f>
        <v>Medium</v>
      </c>
      <c r="K661" t="str">
        <f>IF(Table1[[#This Row],[price]]&lt;200,"Budget",IF(Table1[[#This Row],[price]]&lt;600,"Mid-Range",IF(Table1[[#This Row],[price]]&lt;1000,"Premium","Luxury")))</f>
        <v>Luxury</v>
      </c>
      <c r="L661" t="str">
        <f>IF(Table1[[#This Row],[units_sold]]&lt;50,"Very Low",IF(Table1[[#This Row],[units_sold]]&lt;150,"Low",IF(Table1[[#This Row],[units_sold]]&lt;300,"Medium","High")))</f>
        <v>High</v>
      </c>
      <c r="M661" t="str">
        <f t="shared" si="21"/>
        <v>High Demand - Out of Stock</v>
      </c>
      <c r="N661">
        <f>(Table1[[#This Row],[price]]*0.7)</f>
        <v>908.78899999999987</v>
      </c>
    </row>
    <row r="662" spans="1:14" x14ac:dyDescent="0.35">
      <c r="A662" t="str">
        <f t="shared" si="20"/>
        <v>P661</v>
      </c>
      <c r="B662" t="s">
        <v>12</v>
      </c>
      <c r="C662" t="s">
        <v>7</v>
      </c>
      <c r="D662">
        <v>1155.0899999999999</v>
      </c>
      <c r="E662">
        <v>418</v>
      </c>
      <c r="F662">
        <v>1.7</v>
      </c>
      <c r="G662" t="b">
        <v>1</v>
      </c>
      <c r="H662">
        <f>(Table1[[#This Row],[price]]*Table1[[#This Row],[units_sold]])</f>
        <v>482827.61999999994</v>
      </c>
      <c r="I662" t="str">
        <f>IF(Table1[[#This Row],[in_stock]]=TRUE,"Available","Out of stock")</f>
        <v>Available</v>
      </c>
      <c r="J662" t="str">
        <f>IF(Table1[[#This Row],[rating]]&gt;=4,"High",IF(Table1[[#This Row],[rating]]&gt;=2.5,"Medium","Low"))</f>
        <v>Low</v>
      </c>
      <c r="K662" t="str">
        <f>IF(Table1[[#This Row],[price]]&lt;200,"Budget",IF(Table1[[#This Row],[price]]&lt;600,"Mid-Range",IF(Table1[[#This Row],[price]]&lt;1000,"Premium","Luxury")))</f>
        <v>Luxury</v>
      </c>
      <c r="L662" t="str">
        <f>IF(Table1[[#This Row],[units_sold]]&lt;50,"Very Low",IF(Table1[[#This Row],[units_sold]]&lt;150,"Low",IF(Table1[[#This Row],[units_sold]]&lt;300,"Medium","High")))</f>
        <v>High</v>
      </c>
      <c r="M662" t="str">
        <f t="shared" si="21"/>
        <v>Normal</v>
      </c>
      <c r="N662">
        <f>(Table1[[#This Row],[price]]*0.7)</f>
        <v>808.56299999999987</v>
      </c>
    </row>
    <row r="663" spans="1:14" x14ac:dyDescent="0.35">
      <c r="A663" t="str">
        <f t="shared" si="20"/>
        <v>P662</v>
      </c>
      <c r="B663" t="s">
        <v>15</v>
      </c>
      <c r="C663" t="s">
        <v>7</v>
      </c>
      <c r="D663">
        <v>178.53</v>
      </c>
      <c r="E663">
        <v>154</v>
      </c>
      <c r="F663">
        <v>4.0999999999999996</v>
      </c>
      <c r="G663" t="b">
        <v>1</v>
      </c>
      <c r="H663">
        <f>(Table1[[#This Row],[price]]*Table1[[#This Row],[units_sold]])</f>
        <v>27493.62</v>
      </c>
      <c r="I663" t="str">
        <f>IF(Table1[[#This Row],[in_stock]]=TRUE,"Available","Out of stock")</f>
        <v>Available</v>
      </c>
      <c r="J663" t="str">
        <f>IF(Table1[[#This Row],[rating]]&gt;=4,"High",IF(Table1[[#This Row],[rating]]&gt;=2.5,"Medium","Low"))</f>
        <v>High</v>
      </c>
      <c r="K663" t="str">
        <f>IF(Table1[[#This Row],[price]]&lt;200,"Budget",IF(Table1[[#This Row],[price]]&lt;600,"Mid-Range",IF(Table1[[#This Row],[price]]&lt;1000,"Premium","Luxury")))</f>
        <v>Budget</v>
      </c>
      <c r="L663" t="str">
        <f>IF(Table1[[#This Row],[units_sold]]&lt;50,"Very Low",IF(Table1[[#This Row],[units_sold]]&lt;150,"Low",IF(Table1[[#This Row],[units_sold]]&lt;300,"Medium","High")))</f>
        <v>Medium</v>
      </c>
      <c r="M663" t="str">
        <f t="shared" si="21"/>
        <v>Normal</v>
      </c>
      <c r="N663">
        <f>(Table1[[#This Row],[price]]*0.7)</f>
        <v>124.97099999999999</v>
      </c>
    </row>
    <row r="664" spans="1:14" x14ac:dyDescent="0.35">
      <c r="A664" t="str">
        <f t="shared" si="20"/>
        <v>P663</v>
      </c>
      <c r="B664" t="s">
        <v>13</v>
      </c>
      <c r="C664" t="s">
        <v>9</v>
      </c>
      <c r="D664">
        <v>1195.31</v>
      </c>
      <c r="E664">
        <v>382</v>
      </c>
      <c r="F664">
        <v>3.9</v>
      </c>
      <c r="G664" t="b">
        <v>1</v>
      </c>
      <c r="H664">
        <f>(Table1[[#This Row],[price]]*Table1[[#This Row],[units_sold]])</f>
        <v>456608.42</v>
      </c>
      <c r="I664" t="str">
        <f>IF(Table1[[#This Row],[in_stock]]=TRUE,"Available","Out of stock")</f>
        <v>Available</v>
      </c>
      <c r="J664" t="str">
        <f>IF(Table1[[#This Row],[rating]]&gt;=4,"High",IF(Table1[[#This Row],[rating]]&gt;=2.5,"Medium","Low"))</f>
        <v>Medium</v>
      </c>
      <c r="K664" t="str">
        <f>IF(Table1[[#This Row],[price]]&lt;200,"Budget",IF(Table1[[#This Row],[price]]&lt;600,"Mid-Range",IF(Table1[[#This Row],[price]]&lt;1000,"Premium","Luxury")))</f>
        <v>Luxury</v>
      </c>
      <c r="L664" t="str">
        <f>IF(Table1[[#This Row],[units_sold]]&lt;50,"Very Low",IF(Table1[[#This Row],[units_sold]]&lt;150,"Low",IF(Table1[[#This Row],[units_sold]]&lt;300,"Medium","High")))</f>
        <v>High</v>
      </c>
      <c r="M664" t="str">
        <f t="shared" si="21"/>
        <v>Normal</v>
      </c>
      <c r="N664">
        <f>(Table1[[#This Row],[price]]*0.7)</f>
        <v>836.71699999999987</v>
      </c>
    </row>
    <row r="665" spans="1:14" x14ac:dyDescent="0.35">
      <c r="A665" t="str">
        <f t="shared" si="20"/>
        <v>P664</v>
      </c>
      <c r="B665" t="s">
        <v>12</v>
      </c>
      <c r="C665" t="s">
        <v>7</v>
      </c>
      <c r="D665">
        <v>1378.83</v>
      </c>
      <c r="E665">
        <v>133</v>
      </c>
      <c r="F665">
        <v>2.5</v>
      </c>
      <c r="G665" t="b">
        <v>1</v>
      </c>
      <c r="H665">
        <f>(Table1[[#This Row],[price]]*Table1[[#This Row],[units_sold]])</f>
        <v>183384.38999999998</v>
      </c>
      <c r="I665" t="str">
        <f>IF(Table1[[#This Row],[in_stock]]=TRUE,"Available","Out of stock")</f>
        <v>Available</v>
      </c>
      <c r="J665" t="str">
        <f>IF(Table1[[#This Row],[rating]]&gt;=4,"High",IF(Table1[[#This Row],[rating]]&gt;=2.5,"Medium","Low"))</f>
        <v>Medium</v>
      </c>
      <c r="K665" t="str">
        <f>IF(Table1[[#This Row],[price]]&lt;200,"Budget",IF(Table1[[#This Row],[price]]&lt;600,"Mid-Range",IF(Table1[[#This Row],[price]]&lt;1000,"Premium","Luxury")))</f>
        <v>Luxury</v>
      </c>
      <c r="L665" t="str">
        <f>IF(Table1[[#This Row],[units_sold]]&lt;50,"Very Low",IF(Table1[[#This Row],[units_sold]]&lt;150,"Low",IF(Table1[[#This Row],[units_sold]]&lt;300,"Medium","High")))</f>
        <v>Low</v>
      </c>
      <c r="M665" t="str">
        <f t="shared" si="21"/>
        <v>Normal</v>
      </c>
      <c r="N665">
        <f>(Table1[[#This Row],[price]]*0.7)</f>
        <v>965.18099999999993</v>
      </c>
    </row>
    <row r="666" spans="1:14" x14ac:dyDescent="0.35">
      <c r="A666" t="str">
        <f t="shared" si="20"/>
        <v>P665</v>
      </c>
      <c r="B666" t="s">
        <v>14</v>
      </c>
      <c r="C666" t="s">
        <v>9</v>
      </c>
      <c r="D666">
        <v>904.91</v>
      </c>
      <c r="E666">
        <v>227</v>
      </c>
      <c r="F666">
        <v>1.1000000000000001</v>
      </c>
      <c r="G666" t="b">
        <v>0</v>
      </c>
      <c r="H666">
        <f>(Table1[[#This Row],[price]]*Table1[[#This Row],[units_sold]])</f>
        <v>205414.57</v>
      </c>
      <c r="I666" t="str">
        <f>IF(Table1[[#This Row],[in_stock]]=TRUE,"Available","Out of stock")</f>
        <v>Out of stock</v>
      </c>
      <c r="J666" t="str">
        <f>IF(Table1[[#This Row],[rating]]&gt;=4,"High",IF(Table1[[#This Row],[rating]]&gt;=2.5,"Medium","Low"))</f>
        <v>Low</v>
      </c>
      <c r="K666" t="str">
        <f>IF(Table1[[#This Row],[price]]&lt;200,"Budget",IF(Table1[[#This Row],[price]]&lt;600,"Mid-Range",IF(Table1[[#This Row],[price]]&lt;1000,"Premium","Luxury")))</f>
        <v>Premium</v>
      </c>
      <c r="L666" t="str">
        <f>IF(Table1[[#This Row],[units_sold]]&lt;50,"Very Low",IF(Table1[[#This Row],[units_sold]]&lt;150,"Low",IF(Table1[[#This Row],[units_sold]]&lt;300,"Medium","High")))</f>
        <v>Medium</v>
      </c>
      <c r="M666" t="str">
        <f t="shared" si="21"/>
        <v>Normal</v>
      </c>
      <c r="N666">
        <f>(Table1[[#This Row],[price]]*0.7)</f>
        <v>633.4369999999999</v>
      </c>
    </row>
    <row r="667" spans="1:14" x14ac:dyDescent="0.35">
      <c r="A667" t="str">
        <f t="shared" si="20"/>
        <v>P666</v>
      </c>
      <c r="B667" t="s">
        <v>12</v>
      </c>
      <c r="C667" t="s">
        <v>7</v>
      </c>
      <c r="D667">
        <v>1411.9</v>
      </c>
      <c r="E667">
        <v>189</v>
      </c>
      <c r="F667">
        <v>4.4000000000000004</v>
      </c>
      <c r="G667" t="b">
        <v>1</v>
      </c>
      <c r="H667">
        <f>(Table1[[#This Row],[price]]*Table1[[#This Row],[units_sold]])</f>
        <v>266849.10000000003</v>
      </c>
      <c r="I667" t="str">
        <f>IF(Table1[[#This Row],[in_stock]]=TRUE,"Available","Out of stock")</f>
        <v>Available</v>
      </c>
      <c r="J667" t="str">
        <f>IF(Table1[[#This Row],[rating]]&gt;=4,"High",IF(Table1[[#This Row],[rating]]&gt;=2.5,"Medium","Low"))</f>
        <v>High</v>
      </c>
      <c r="K667" t="str">
        <f>IF(Table1[[#This Row],[price]]&lt;200,"Budget",IF(Table1[[#This Row],[price]]&lt;600,"Mid-Range",IF(Table1[[#This Row],[price]]&lt;1000,"Premium","Luxury")))</f>
        <v>Luxury</v>
      </c>
      <c r="L667" t="str">
        <f>IF(Table1[[#This Row],[units_sold]]&lt;50,"Very Low",IF(Table1[[#This Row],[units_sold]]&lt;150,"Low",IF(Table1[[#This Row],[units_sold]]&lt;300,"Medium","High")))</f>
        <v>Medium</v>
      </c>
      <c r="M667" t="str">
        <f t="shared" si="21"/>
        <v>Normal</v>
      </c>
      <c r="N667">
        <f>(Table1[[#This Row],[price]]*0.7)</f>
        <v>988.33</v>
      </c>
    </row>
    <row r="668" spans="1:14" x14ac:dyDescent="0.35">
      <c r="A668" t="str">
        <f t="shared" si="20"/>
        <v>P667</v>
      </c>
      <c r="B668" t="s">
        <v>12</v>
      </c>
      <c r="C668" t="s">
        <v>7</v>
      </c>
      <c r="D668">
        <v>1241.99</v>
      </c>
      <c r="E668">
        <v>476</v>
      </c>
      <c r="F668">
        <v>1</v>
      </c>
      <c r="G668" t="b">
        <v>1</v>
      </c>
      <c r="H668">
        <f>(Table1[[#This Row],[price]]*Table1[[#This Row],[units_sold]])</f>
        <v>591187.24</v>
      </c>
      <c r="I668" t="str">
        <f>IF(Table1[[#This Row],[in_stock]]=TRUE,"Available","Out of stock")</f>
        <v>Available</v>
      </c>
      <c r="J668" t="str">
        <f>IF(Table1[[#This Row],[rating]]&gt;=4,"High",IF(Table1[[#This Row],[rating]]&gt;=2.5,"Medium","Low"))</f>
        <v>Low</v>
      </c>
      <c r="K668" t="str">
        <f>IF(Table1[[#This Row],[price]]&lt;200,"Budget",IF(Table1[[#This Row],[price]]&lt;600,"Mid-Range",IF(Table1[[#This Row],[price]]&lt;1000,"Premium","Luxury")))</f>
        <v>Luxury</v>
      </c>
      <c r="L668" t="str">
        <f>IF(Table1[[#This Row],[units_sold]]&lt;50,"Very Low",IF(Table1[[#This Row],[units_sold]]&lt;150,"Low",IF(Table1[[#This Row],[units_sold]]&lt;300,"Medium","High")))</f>
        <v>High</v>
      </c>
      <c r="M668" t="str">
        <f t="shared" si="21"/>
        <v>Normal</v>
      </c>
      <c r="N668">
        <f>(Table1[[#This Row],[price]]*0.7)</f>
        <v>869.39299999999992</v>
      </c>
    </row>
    <row r="669" spans="1:14" x14ac:dyDescent="0.35">
      <c r="A669" t="str">
        <f t="shared" si="20"/>
        <v>P668</v>
      </c>
      <c r="B669" t="s">
        <v>12</v>
      </c>
      <c r="C669" t="s">
        <v>7</v>
      </c>
      <c r="D669">
        <v>1003.79</v>
      </c>
      <c r="E669">
        <v>477</v>
      </c>
      <c r="F669">
        <v>3.8</v>
      </c>
      <c r="G669" t="b">
        <v>1</v>
      </c>
      <c r="H669">
        <f>(Table1[[#This Row],[price]]*Table1[[#This Row],[units_sold]])</f>
        <v>478807.82999999996</v>
      </c>
      <c r="I669" t="str">
        <f>IF(Table1[[#This Row],[in_stock]]=TRUE,"Available","Out of stock")</f>
        <v>Available</v>
      </c>
      <c r="J669" t="str">
        <f>IF(Table1[[#This Row],[rating]]&gt;=4,"High",IF(Table1[[#This Row],[rating]]&gt;=2.5,"Medium","Low"))</f>
        <v>Medium</v>
      </c>
      <c r="K669" t="str">
        <f>IF(Table1[[#This Row],[price]]&lt;200,"Budget",IF(Table1[[#This Row],[price]]&lt;600,"Mid-Range",IF(Table1[[#This Row],[price]]&lt;1000,"Premium","Luxury")))</f>
        <v>Luxury</v>
      </c>
      <c r="L669" t="str">
        <f>IF(Table1[[#This Row],[units_sold]]&lt;50,"Very Low",IF(Table1[[#This Row],[units_sold]]&lt;150,"Low",IF(Table1[[#This Row],[units_sold]]&lt;300,"Medium","High")))</f>
        <v>High</v>
      </c>
      <c r="M669" t="str">
        <f t="shared" si="21"/>
        <v>Normal</v>
      </c>
      <c r="N669">
        <f>(Table1[[#This Row],[price]]*0.7)</f>
        <v>702.65299999999991</v>
      </c>
    </row>
    <row r="670" spans="1:14" x14ac:dyDescent="0.35">
      <c r="A670" t="str">
        <f t="shared" si="20"/>
        <v>P669</v>
      </c>
      <c r="B670" t="s">
        <v>10</v>
      </c>
      <c r="C670" t="s">
        <v>9</v>
      </c>
      <c r="D670">
        <v>870.01</v>
      </c>
      <c r="E670">
        <v>265</v>
      </c>
      <c r="F670">
        <v>4.9000000000000004</v>
      </c>
      <c r="G670" t="b">
        <v>1</v>
      </c>
      <c r="H670">
        <f>(Table1[[#This Row],[price]]*Table1[[#This Row],[units_sold]])</f>
        <v>230552.65</v>
      </c>
      <c r="I670" t="str">
        <f>IF(Table1[[#This Row],[in_stock]]=TRUE,"Available","Out of stock")</f>
        <v>Available</v>
      </c>
      <c r="J670" t="str">
        <f>IF(Table1[[#This Row],[rating]]&gt;=4,"High",IF(Table1[[#This Row],[rating]]&gt;=2.5,"Medium","Low"))</f>
        <v>High</v>
      </c>
      <c r="K670" t="str">
        <f>IF(Table1[[#This Row],[price]]&lt;200,"Budget",IF(Table1[[#This Row],[price]]&lt;600,"Mid-Range",IF(Table1[[#This Row],[price]]&lt;1000,"Premium","Luxury")))</f>
        <v>Premium</v>
      </c>
      <c r="L670" t="str">
        <f>IF(Table1[[#This Row],[units_sold]]&lt;50,"Very Low",IF(Table1[[#This Row],[units_sold]]&lt;150,"Low",IF(Table1[[#This Row],[units_sold]]&lt;300,"Medium","High")))</f>
        <v>Medium</v>
      </c>
      <c r="M670" t="str">
        <f t="shared" si="21"/>
        <v>Normal</v>
      </c>
      <c r="N670">
        <f>(Table1[[#This Row],[price]]*0.7)</f>
        <v>609.00699999999995</v>
      </c>
    </row>
    <row r="671" spans="1:14" x14ac:dyDescent="0.35">
      <c r="A671" t="str">
        <f t="shared" si="20"/>
        <v>P670</v>
      </c>
      <c r="B671" t="s">
        <v>10</v>
      </c>
      <c r="C671" t="s">
        <v>9</v>
      </c>
      <c r="D671">
        <v>529.37</v>
      </c>
      <c r="E671">
        <v>372</v>
      </c>
      <c r="F671">
        <v>2.8</v>
      </c>
      <c r="G671" t="b">
        <v>0</v>
      </c>
      <c r="H671">
        <f>(Table1[[#This Row],[price]]*Table1[[#This Row],[units_sold]])</f>
        <v>196925.64</v>
      </c>
      <c r="I671" t="str">
        <f>IF(Table1[[#This Row],[in_stock]]=TRUE,"Available","Out of stock")</f>
        <v>Out of stock</v>
      </c>
      <c r="J671" t="str">
        <f>IF(Table1[[#This Row],[rating]]&gt;=4,"High",IF(Table1[[#This Row],[rating]]&gt;=2.5,"Medium","Low"))</f>
        <v>Medium</v>
      </c>
      <c r="K671" t="str">
        <f>IF(Table1[[#This Row],[price]]&lt;200,"Budget",IF(Table1[[#This Row],[price]]&lt;600,"Mid-Range",IF(Table1[[#This Row],[price]]&lt;1000,"Premium","Luxury")))</f>
        <v>Mid-Range</v>
      </c>
      <c r="L671" t="str">
        <f>IF(Table1[[#This Row],[units_sold]]&lt;50,"Very Low",IF(Table1[[#This Row],[units_sold]]&lt;150,"Low",IF(Table1[[#This Row],[units_sold]]&lt;300,"Medium","High")))</f>
        <v>High</v>
      </c>
      <c r="M671" t="str">
        <f t="shared" si="21"/>
        <v>High Demand - Out of Stock</v>
      </c>
      <c r="N671">
        <f>(Table1[[#This Row],[price]]*0.7)</f>
        <v>370.55899999999997</v>
      </c>
    </row>
    <row r="672" spans="1:14" x14ac:dyDescent="0.35">
      <c r="A672" t="str">
        <f t="shared" si="20"/>
        <v>P671</v>
      </c>
      <c r="B672" t="s">
        <v>13</v>
      </c>
      <c r="C672" t="s">
        <v>9</v>
      </c>
      <c r="D672">
        <v>247.34</v>
      </c>
      <c r="E672">
        <v>486</v>
      </c>
      <c r="F672">
        <v>1.9</v>
      </c>
      <c r="G672" t="b">
        <v>0</v>
      </c>
      <c r="H672">
        <f>(Table1[[#This Row],[price]]*Table1[[#This Row],[units_sold]])</f>
        <v>120207.24</v>
      </c>
      <c r="I672" t="str">
        <f>IF(Table1[[#This Row],[in_stock]]=TRUE,"Available","Out of stock")</f>
        <v>Out of stock</v>
      </c>
      <c r="J672" t="str">
        <f>IF(Table1[[#This Row],[rating]]&gt;=4,"High",IF(Table1[[#This Row],[rating]]&gt;=2.5,"Medium","Low"))</f>
        <v>Low</v>
      </c>
      <c r="K672" t="str">
        <f>IF(Table1[[#This Row],[price]]&lt;200,"Budget",IF(Table1[[#This Row],[price]]&lt;600,"Mid-Range",IF(Table1[[#This Row],[price]]&lt;1000,"Premium","Luxury")))</f>
        <v>Mid-Range</v>
      </c>
      <c r="L672" t="str">
        <f>IF(Table1[[#This Row],[units_sold]]&lt;50,"Very Low",IF(Table1[[#This Row],[units_sold]]&lt;150,"Low",IF(Table1[[#This Row],[units_sold]]&lt;300,"Medium","High")))</f>
        <v>High</v>
      </c>
      <c r="M672" t="str">
        <f t="shared" si="21"/>
        <v>High Demand - Out of Stock</v>
      </c>
      <c r="N672">
        <f>(Table1[[#This Row],[price]]*0.7)</f>
        <v>173.13800000000001</v>
      </c>
    </row>
    <row r="673" spans="1:14" x14ac:dyDescent="0.35">
      <c r="A673" t="str">
        <f t="shared" si="20"/>
        <v>P672</v>
      </c>
      <c r="B673" t="s">
        <v>16</v>
      </c>
      <c r="C673" t="s">
        <v>9</v>
      </c>
      <c r="D673">
        <v>911.38</v>
      </c>
      <c r="E673">
        <v>434</v>
      </c>
      <c r="F673">
        <v>3.8</v>
      </c>
      <c r="G673" t="b">
        <v>1</v>
      </c>
      <c r="H673">
        <f>(Table1[[#This Row],[price]]*Table1[[#This Row],[units_sold]])</f>
        <v>395538.92</v>
      </c>
      <c r="I673" t="str">
        <f>IF(Table1[[#This Row],[in_stock]]=TRUE,"Available","Out of stock")</f>
        <v>Available</v>
      </c>
      <c r="J673" t="str">
        <f>IF(Table1[[#This Row],[rating]]&gt;=4,"High",IF(Table1[[#This Row],[rating]]&gt;=2.5,"Medium","Low"))</f>
        <v>Medium</v>
      </c>
      <c r="K673" t="str">
        <f>IF(Table1[[#This Row],[price]]&lt;200,"Budget",IF(Table1[[#This Row],[price]]&lt;600,"Mid-Range",IF(Table1[[#This Row],[price]]&lt;1000,"Premium","Luxury")))</f>
        <v>Premium</v>
      </c>
      <c r="L673" t="str">
        <f>IF(Table1[[#This Row],[units_sold]]&lt;50,"Very Low",IF(Table1[[#This Row],[units_sold]]&lt;150,"Low",IF(Table1[[#This Row],[units_sold]]&lt;300,"Medium","High")))</f>
        <v>High</v>
      </c>
      <c r="M673" t="str">
        <f t="shared" si="21"/>
        <v>Normal</v>
      </c>
      <c r="N673">
        <f>(Table1[[#This Row],[price]]*0.7)</f>
        <v>637.96600000000001</v>
      </c>
    </row>
    <row r="674" spans="1:14" x14ac:dyDescent="0.35">
      <c r="A674" t="str">
        <f t="shared" si="20"/>
        <v>P673</v>
      </c>
      <c r="B674" t="s">
        <v>12</v>
      </c>
      <c r="C674" t="s">
        <v>7</v>
      </c>
      <c r="D674">
        <v>483.99</v>
      </c>
      <c r="E674">
        <v>134</v>
      </c>
      <c r="F674">
        <v>4.3</v>
      </c>
      <c r="G674" t="b">
        <v>1</v>
      </c>
      <c r="H674">
        <f>(Table1[[#This Row],[price]]*Table1[[#This Row],[units_sold]])</f>
        <v>64854.66</v>
      </c>
      <c r="I674" t="str">
        <f>IF(Table1[[#This Row],[in_stock]]=TRUE,"Available","Out of stock")</f>
        <v>Available</v>
      </c>
      <c r="J674" t="str">
        <f>IF(Table1[[#This Row],[rating]]&gt;=4,"High",IF(Table1[[#This Row],[rating]]&gt;=2.5,"Medium","Low"))</f>
        <v>High</v>
      </c>
      <c r="K674" t="str">
        <f>IF(Table1[[#This Row],[price]]&lt;200,"Budget",IF(Table1[[#This Row],[price]]&lt;600,"Mid-Range",IF(Table1[[#This Row],[price]]&lt;1000,"Premium","Luxury")))</f>
        <v>Mid-Range</v>
      </c>
      <c r="L674" t="str">
        <f>IF(Table1[[#This Row],[units_sold]]&lt;50,"Very Low",IF(Table1[[#This Row],[units_sold]]&lt;150,"Low",IF(Table1[[#This Row],[units_sold]]&lt;300,"Medium","High")))</f>
        <v>Low</v>
      </c>
      <c r="M674" t="str">
        <f t="shared" si="21"/>
        <v>Normal</v>
      </c>
      <c r="N674">
        <f>(Table1[[#This Row],[price]]*0.7)</f>
        <v>338.79300000000001</v>
      </c>
    </row>
    <row r="675" spans="1:14" x14ac:dyDescent="0.35">
      <c r="A675" t="str">
        <f t="shared" si="20"/>
        <v>P674</v>
      </c>
      <c r="B675" t="s">
        <v>8</v>
      </c>
      <c r="C675" t="s">
        <v>9</v>
      </c>
      <c r="D675">
        <v>1300.99</v>
      </c>
      <c r="E675">
        <v>211</v>
      </c>
      <c r="F675">
        <v>3.2</v>
      </c>
      <c r="G675" t="b">
        <v>0</v>
      </c>
      <c r="H675">
        <f>(Table1[[#This Row],[price]]*Table1[[#This Row],[units_sold]])</f>
        <v>274508.89</v>
      </c>
      <c r="I675" t="str">
        <f>IF(Table1[[#This Row],[in_stock]]=TRUE,"Available","Out of stock")</f>
        <v>Out of stock</v>
      </c>
      <c r="J675" t="str">
        <f>IF(Table1[[#This Row],[rating]]&gt;=4,"High",IF(Table1[[#This Row],[rating]]&gt;=2.5,"Medium","Low"))</f>
        <v>Medium</v>
      </c>
      <c r="K675" t="str">
        <f>IF(Table1[[#This Row],[price]]&lt;200,"Budget",IF(Table1[[#This Row],[price]]&lt;600,"Mid-Range",IF(Table1[[#This Row],[price]]&lt;1000,"Premium","Luxury")))</f>
        <v>Luxury</v>
      </c>
      <c r="L675" t="str">
        <f>IF(Table1[[#This Row],[units_sold]]&lt;50,"Very Low",IF(Table1[[#This Row],[units_sold]]&lt;150,"Low",IF(Table1[[#This Row],[units_sold]]&lt;300,"Medium","High")))</f>
        <v>Medium</v>
      </c>
      <c r="M675" t="str">
        <f t="shared" si="21"/>
        <v>Normal</v>
      </c>
      <c r="N675">
        <f>(Table1[[#This Row],[price]]*0.7)</f>
        <v>910.69299999999998</v>
      </c>
    </row>
    <row r="676" spans="1:14" x14ac:dyDescent="0.35">
      <c r="A676" t="str">
        <f t="shared" si="20"/>
        <v>P675</v>
      </c>
      <c r="B676" t="s">
        <v>16</v>
      </c>
      <c r="C676" t="s">
        <v>9</v>
      </c>
      <c r="D676">
        <v>1490.07</v>
      </c>
      <c r="E676">
        <v>60</v>
      </c>
      <c r="F676">
        <v>4.9000000000000004</v>
      </c>
      <c r="G676" t="b">
        <v>0</v>
      </c>
      <c r="H676">
        <f>(Table1[[#This Row],[price]]*Table1[[#This Row],[units_sold]])</f>
        <v>89404.2</v>
      </c>
      <c r="I676" t="str">
        <f>IF(Table1[[#This Row],[in_stock]]=TRUE,"Available","Out of stock")</f>
        <v>Out of stock</v>
      </c>
      <c r="J676" t="str">
        <f>IF(Table1[[#This Row],[rating]]&gt;=4,"High",IF(Table1[[#This Row],[rating]]&gt;=2.5,"Medium","Low"))</f>
        <v>High</v>
      </c>
      <c r="K676" t="str">
        <f>IF(Table1[[#This Row],[price]]&lt;200,"Budget",IF(Table1[[#This Row],[price]]&lt;600,"Mid-Range",IF(Table1[[#This Row],[price]]&lt;1000,"Premium","Luxury")))</f>
        <v>Luxury</v>
      </c>
      <c r="L676" t="str">
        <f>IF(Table1[[#This Row],[units_sold]]&lt;50,"Very Low",IF(Table1[[#This Row],[units_sold]]&lt;150,"Low",IF(Table1[[#This Row],[units_sold]]&lt;300,"Medium","High")))</f>
        <v>Low</v>
      </c>
      <c r="M676" t="str">
        <f t="shared" si="21"/>
        <v>Normal</v>
      </c>
      <c r="N676">
        <f>(Table1[[#This Row],[price]]*0.7)</f>
        <v>1043.049</v>
      </c>
    </row>
    <row r="677" spans="1:14" x14ac:dyDescent="0.35">
      <c r="A677" t="str">
        <f t="shared" si="20"/>
        <v>P676</v>
      </c>
      <c r="B677" t="s">
        <v>13</v>
      </c>
      <c r="C677" t="s">
        <v>9</v>
      </c>
      <c r="D677">
        <v>1131.1199999999999</v>
      </c>
      <c r="E677">
        <v>428</v>
      </c>
      <c r="F677">
        <v>1.2</v>
      </c>
      <c r="G677" t="b">
        <v>1</v>
      </c>
      <c r="H677">
        <f>(Table1[[#This Row],[price]]*Table1[[#This Row],[units_sold]])</f>
        <v>484119.35999999993</v>
      </c>
      <c r="I677" t="str">
        <f>IF(Table1[[#This Row],[in_stock]]=TRUE,"Available","Out of stock")</f>
        <v>Available</v>
      </c>
      <c r="J677" t="str">
        <f>IF(Table1[[#This Row],[rating]]&gt;=4,"High",IF(Table1[[#This Row],[rating]]&gt;=2.5,"Medium","Low"))</f>
        <v>Low</v>
      </c>
      <c r="K677" t="str">
        <f>IF(Table1[[#This Row],[price]]&lt;200,"Budget",IF(Table1[[#This Row],[price]]&lt;600,"Mid-Range",IF(Table1[[#This Row],[price]]&lt;1000,"Premium","Luxury")))</f>
        <v>Luxury</v>
      </c>
      <c r="L677" t="str">
        <f>IF(Table1[[#This Row],[units_sold]]&lt;50,"Very Low",IF(Table1[[#This Row],[units_sold]]&lt;150,"Low",IF(Table1[[#This Row],[units_sold]]&lt;300,"Medium","High")))</f>
        <v>High</v>
      </c>
      <c r="M677" t="str">
        <f t="shared" si="21"/>
        <v>Normal</v>
      </c>
      <c r="N677">
        <f>(Table1[[#This Row],[price]]*0.7)</f>
        <v>791.78399999999988</v>
      </c>
    </row>
    <row r="678" spans="1:14" x14ac:dyDescent="0.35">
      <c r="A678" t="str">
        <f t="shared" si="20"/>
        <v>P677</v>
      </c>
      <c r="B678" t="s">
        <v>17</v>
      </c>
      <c r="C678" t="s">
        <v>7</v>
      </c>
      <c r="D678">
        <v>144.82</v>
      </c>
      <c r="E678">
        <v>377</v>
      </c>
      <c r="F678">
        <v>3</v>
      </c>
      <c r="G678" t="b">
        <v>1</v>
      </c>
      <c r="H678">
        <f>(Table1[[#This Row],[price]]*Table1[[#This Row],[units_sold]])</f>
        <v>54597.14</v>
      </c>
      <c r="I678" t="str">
        <f>IF(Table1[[#This Row],[in_stock]]=TRUE,"Available","Out of stock")</f>
        <v>Available</v>
      </c>
      <c r="J678" t="str">
        <f>IF(Table1[[#This Row],[rating]]&gt;=4,"High",IF(Table1[[#This Row],[rating]]&gt;=2.5,"Medium","Low"))</f>
        <v>Medium</v>
      </c>
      <c r="K678" t="str">
        <f>IF(Table1[[#This Row],[price]]&lt;200,"Budget",IF(Table1[[#This Row],[price]]&lt;600,"Mid-Range",IF(Table1[[#This Row],[price]]&lt;1000,"Premium","Luxury")))</f>
        <v>Budget</v>
      </c>
      <c r="L678" t="str">
        <f>IF(Table1[[#This Row],[units_sold]]&lt;50,"Very Low",IF(Table1[[#This Row],[units_sold]]&lt;150,"Low",IF(Table1[[#This Row],[units_sold]]&lt;300,"Medium","High")))</f>
        <v>High</v>
      </c>
      <c r="M678" t="str">
        <f t="shared" si="21"/>
        <v>Normal</v>
      </c>
      <c r="N678">
        <f>(Table1[[#This Row],[price]]*0.7)</f>
        <v>101.374</v>
      </c>
    </row>
    <row r="679" spans="1:14" x14ac:dyDescent="0.35">
      <c r="A679" t="str">
        <f t="shared" si="20"/>
        <v>P678</v>
      </c>
      <c r="B679" t="s">
        <v>16</v>
      </c>
      <c r="C679" t="s">
        <v>9</v>
      </c>
      <c r="D679">
        <v>440.14</v>
      </c>
      <c r="E679">
        <v>395</v>
      </c>
      <c r="F679">
        <v>3.9</v>
      </c>
      <c r="G679" t="b">
        <v>1</v>
      </c>
      <c r="H679">
        <f>(Table1[[#This Row],[price]]*Table1[[#This Row],[units_sold]])</f>
        <v>173855.3</v>
      </c>
      <c r="I679" t="str">
        <f>IF(Table1[[#This Row],[in_stock]]=TRUE,"Available","Out of stock")</f>
        <v>Available</v>
      </c>
      <c r="J679" t="str">
        <f>IF(Table1[[#This Row],[rating]]&gt;=4,"High",IF(Table1[[#This Row],[rating]]&gt;=2.5,"Medium","Low"))</f>
        <v>Medium</v>
      </c>
      <c r="K679" t="str">
        <f>IF(Table1[[#This Row],[price]]&lt;200,"Budget",IF(Table1[[#This Row],[price]]&lt;600,"Mid-Range",IF(Table1[[#This Row],[price]]&lt;1000,"Premium","Luxury")))</f>
        <v>Mid-Range</v>
      </c>
      <c r="L679" t="str">
        <f>IF(Table1[[#This Row],[units_sold]]&lt;50,"Very Low",IF(Table1[[#This Row],[units_sold]]&lt;150,"Low",IF(Table1[[#This Row],[units_sold]]&lt;300,"Medium","High")))</f>
        <v>High</v>
      </c>
      <c r="M679" t="str">
        <f t="shared" si="21"/>
        <v>Normal</v>
      </c>
      <c r="N679">
        <f>(Table1[[#This Row],[price]]*0.7)</f>
        <v>308.09799999999996</v>
      </c>
    </row>
    <row r="680" spans="1:14" x14ac:dyDescent="0.35">
      <c r="A680" t="str">
        <f t="shared" si="20"/>
        <v>P679</v>
      </c>
      <c r="B680" t="s">
        <v>16</v>
      </c>
      <c r="C680" t="s">
        <v>9</v>
      </c>
      <c r="D680">
        <v>172.57</v>
      </c>
      <c r="E680">
        <v>450</v>
      </c>
      <c r="F680">
        <v>4.5</v>
      </c>
      <c r="G680" t="b">
        <v>0</v>
      </c>
      <c r="H680">
        <f>(Table1[[#This Row],[price]]*Table1[[#This Row],[units_sold]])</f>
        <v>77656.5</v>
      </c>
      <c r="I680" t="str">
        <f>IF(Table1[[#This Row],[in_stock]]=TRUE,"Available","Out of stock")</f>
        <v>Out of stock</v>
      </c>
      <c r="J680" t="str">
        <f>IF(Table1[[#This Row],[rating]]&gt;=4,"High",IF(Table1[[#This Row],[rating]]&gt;=2.5,"Medium","Low"))</f>
        <v>High</v>
      </c>
      <c r="K680" t="str">
        <f>IF(Table1[[#This Row],[price]]&lt;200,"Budget",IF(Table1[[#This Row],[price]]&lt;600,"Mid-Range",IF(Table1[[#This Row],[price]]&lt;1000,"Premium","Luxury")))</f>
        <v>Budget</v>
      </c>
      <c r="L680" t="str">
        <f>IF(Table1[[#This Row],[units_sold]]&lt;50,"Very Low",IF(Table1[[#This Row],[units_sold]]&lt;150,"Low",IF(Table1[[#This Row],[units_sold]]&lt;300,"Medium","High")))</f>
        <v>High</v>
      </c>
      <c r="M680" t="str">
        <f t="shared" si="21"/>
        <v>High Demand - Out of Stock</v>
      </c>
      <c r="N680">
        <f>(Table1[[#This Row],[price]]*0.7)</f>
        <v>120.79899999999999</v>
      </c>
    </row>
    <row r="681" spans="1:14" x14ac:dyDescent="0.35">
      <c r="A681" t="str">
        <f t="shared" si="20"/>
        <v>P680</v>
      </c>
      <c r="B681" t="s">
        <v>6</v>
      </c>
      <c r="C681" t="s">
        <v>7</v>
      </c>
      <c r="D681">
        <v>979.26</v>
      </c>
      <c r="E681">
        <v>431</v>
      </c>
      <c r="F681">
        <v>1.7</v>
      </c>
      <c r="G681" t="b">
        <v>1</v>
      </c>
      <c r="H681">
        <f>(Table1[[#This Row],[price]]*Table1[[#This Row],[units_sold]])</f>
        <v>422061.06</v>
      </c>
      <c r="I681" t="str">
        <f>IF(Table1[[#This Row],[in_stock]]=TRUE,"Available","Out of stock")</f>
        <v>Available</v>
      </c>
      <c r="J681" t="str">
        <f>IF(Table1[[#This Row],[rating]]&gt;=4,"High",IF(Table1[[#This Row],[rating]]&gt;=2.5,"Medium","Low"))</f>
        <v>Low</v>
      </c>
      <c r="K681" t="str">
        <f>IF(Table1[[#This Row],[price]]&lt;200,"Budget",IF(Table1[[#This Row],[price]]&lt;600,"Mid-Range",IF(Table1[[#This Row],[price]]&lt;1000,"Premium","Luxury")))</f>
        <v>Premium</v>
      </c>
      <c r="L681" t="str">
        <f>IF(Table1[[#This Row],[units_sold]]&lt;50,"Very Low",IF(Table1[[#This Row],[units_sold]]&lt;150,"Low",IF(Table1[[#This Row],[units_sold]]&lt;300,"Medium","High")))</f>
        <v>High</v>
      </c>
      <c r="M681" t="str">
        <f t="shared" si="21"/>
        <v>Normal</v>
      </c>
      <c r="N681">
        <f>(Table1[[#This Row],[price]]*0.7)</f>
        <v>685.48199999999997</v>
      </c>
    </row>
    <row r="682" spans="1:14" x14ac:dyDescent="0.35">
      <c r="A682" t="str">
        <f t="shared" si="20"/>
        <v>P681</v>
      </c>
      <c r="B682" t="s">
        <v>11</v>
      </c>
      <c r="C682" t="s">
        <v>9</v>
      </c>
      <c r="D682">
        <v>1150.1300000000001</v>
      </c>
      <c r="E682">
        <v>364</v>
      </c>
      <c r="F682">
        <v>4.2</v>
      </c>
      <c r="G682" t="b">
        <v>1</v>
      </c>
      <c r="H682">
        <f>(Table1[[#This Row],[price]]*Table1[[#This Row],[units_sold]])</f>
        <v>418647.32000000007</v>
      </c>
      <c r="I682" t="str">
        <f>IF(Table1[[#This Row],[in_stock]]=TRUE,"Available","Out of stock")</f>
        <v>Available</v>
      </c>
      <c r="J682" t="str">
        <f>IF(Table1[[#This Row],[rating]]&gt;=4,"High",IF(Table1[[#This Row],[rating]]&gt;=2.5,"Medium","Low"))</f>
        <v>High</v>
      </c>
      <c r="K682" t="str">
        <f>IF(Table1[[#This Row],[price]]&lt;200,"Budget",IF(Table1[[#This Row],[price]]&lt;600,"Mid-Range",IF(Table1[[#This Row],[price]]&lt;1000,"Premium","Luxury")))</f>
        <v>Luxury</v>
      </c>
      <c r="L682" t="str">
        <f>IF(Table1[[#This Row],[units_sold]]&lt;50,"Very Low",IF(Table1[[#This Row],[units_sold]]&lt;150,"Low",IF(Table1[[#This Row],[units_sold]]&lt;300,"Medium","High")))</f>
        <v>High</v>
      </c>
      <c r="M682" t="str">
        <f t="shared" si="21"/>
        <v>Normal</v>
      </c>
      <c r="N682">
        <f>(Table1[[#This Row],[price]]*0.7)</f>
        <v>805.09100000000001</v>
      </c>
    </row>
    <row r="683" spans="1:14" x14ac:dyDescent="0.35">
      <c r="A683" t="str">
        <f t="shared" si="20"/>
        <v>P682</v>
      </c>
      <c r="B683" t="s">
        <v>6</v>
      </c>
      <c r="C683" t="s">
        <v>7</v>
      </c>
      <c r="D683">
        <v>1389.26</v>
      </c>
      <c r="E683">
        <v>364</v>
      </c>
      <c r="F683">
        <v>3.2</v>
      </c>
      <c r="G683" t="b">
        <v>1</v>
      </c>
      <c r="H683">
        <f>(Table1[[#This Row],[price]]*Table1[[#This Row],[units_sold]])</f>
        <v>505690.64</v>
      </c>
      <c r="I683" t="str">
        <f>IF(Table1[[#This Row],[in_stock]]=TRUE,"Available","Out of stock")</f>
        <v>Available</v>
      </c>
      <c r="J683" t="str">
        <f>IF(Table1[[#This Row],[rating]]&gt;=4,"High",IF(Table1[[#This Row],[rating]]&gt;=2.5,"Medium","Low"))</f>
        <v>Medium</v>
      </c>
      <c r="K683" t="str">
        <f>IF(Table1[[#This Row],[price]]&lt;200,"Budget",IF(Table1[[#This Row],[price]]&lt;600,"Mid-Range",IF(Table1[[#This Row],[price]]&lt;1000,"Premium","Luxury")))</f>
        <v>Luxury</v>
      </c>
      <c r="L683" t="str">
        <f>IF(Table1[[#This Row],[units_sold]]&lt;50,"Very Low",IF(Table1[[#This Row],[units_sold]]&lt;150,"Low",IF(Table1[[#This Row],[units_sold]]&lt;300,"Medium","High")))</f>
        <v>High</v>
      </c>
      <c r="M683" t="str">
        <f t="shared" si="21"/>
        <v>Normal</v>
      </c>
      <c r="N683">
        <f>(Table1[[#This Row],[price]]*0.7)</f>
        <v>972.48199999999997</v>
      </c>
    </row>
    <row r="684" spans="1:14" x14ac:dyDescent="0.35">
      <c r="A684" t="str">
        <f t="shared" si="20"/>
        <v>P683</v>
      </c>
      <c r="B684" t="s">
        <v>14</v>
      </c>
      <c r="C684" t="s">
        <v>9</v>
      </c>
      <c r="D684">
        <v>662.88</v>
      </c>
      <c r="E684">
        <v>457</v>
      </c>
      <c r="F684">
        <v>2.6</v>
      </c>
      <c r="G684" t="b">
        <v>1</v>
      </c>
      <c r="H684">
        <f>(Table1[[#This Row],[price]]*Table1[[#This Row],[units_sold]])</f>
        <v>302936.15999999997</v>
      </c>
      <c r="I684" t="str">
        <f>IF(Table1[[#This Row],[in_stock]]=TRUE,"Available","Out of stock")</f>
        <v>Available</v>
      </c>
      <c r="J684" t="str">
        <f>IF(Table1[[#This Row],[rating]]&gt;=4,"High",IF(Table1[[#This Row],[rating]]&gt;=2.5,"Medium","Low"))</f>
        <v>Medium</v>
      </c>
      <c r="K684" t="str">
        <f>IF(Table1[[#This Row],[price]]&lt;200,"Budget",IF(Table1[[#This Row],[price]]&lt;600,"Mid-Range",IF(Table1[[#This Row],[price]]&lt;1000,"Premium","Luxury")))</f>
        <v>Premium</v>
      </c>
      <c r="L684" t="str">
        <f>IF(Table1[[#This Row],[units_sold]]&lt;50,"Very Low",IF(Table1[[#This Row],[units_sold]]&lt;150,"Low",IF(Table1[[#This Row],[units_sold]]&lt;300,"Medium","High")))</f>
        <v>High</v>
      </c>
      <c r="M684" t="str">
        <f t="shared" si="21"/>
        <v>Normal</v>
      </c>
      <c r="N684">
        <f>(Table1[[#This Row],[price]]*0.7)</f>
        <v>464.01599999999996</v>
      </c>
    </row>
    <row r="685" spans="1:14" x14ac:dyDescent="0.35">
      <c r="A685" t="str">
        <f t="shared" si="20"/>
        <v>P684</v>
      </c>
      <c r="B685" t="s">
        <v>10</v>
      </c>
      <c r="C685" t="s">
        <v>9</v>
      </c>
      <c r="D685">
        <v>1353.05</v>
      </c>
      <c r="E685">
        <v>213</v>
      </c>
      <c r="F685">
        <v>1.5</v>
      </c>
      <c r="G685" t="b">
        <v>1</v>
      </c>
      <c r="H685">
        <f>(Table1[[#This Row],[price]]*Table1[[#This Row],[units_sold]])</f>
        <v>288199.64999999997</v>
      </c>
      <c r="I685" t="str">
        <f>IF(Table1[[#This Row],[in_stock]]=TRUE,"Available","Out of stock")</f>
        <v>Available</v>
      </c>
      <c r="J685" t="str">
        <f>IF(Table1[[#This Row],[rating]]&gt;=4,"High",IF(Table1[[#This Row],[rating]]&gt;=2.5,"Medium","Low"))</f>
        <v>Low</v>
      </c>
      <c r="K685" t="str">
        <f>IF(Table1[[#This Row],[price]]&lt;200,"Budget",IF(Table1[[#This Row],[price]]&lt;600,"Mid-Range",IF(Table1[[#This Row],[price]]&lt;1000,"Premium","Luxury")))</f>
        <v>Luxury</v>
      </c>
      <c r="L685" t="str">
        <f>IF(Table1[[#This Row],[units_sold]]&lt;50,"Very Low",IF(Table1[[#This Row],[units_sold]]&lt;150,"Low",IF(Table1[[#This Row],[units_sold]]&lt;300,"Medium","High")))</f>
        <v>Medium</v>
      </c>
      <c r="M685" t="str">
        <f t="shared" si="21"/>
        <v>Normal</v>
      </c>
      <c r="N685">
        <f>(Table1[[#This Row],[price]]*0.7)</f>
        <v>947.13499999999988</v>
      </c>
    </row>
    <row r="686" spans="1:14" x14ac:dyDescent="0.35">
      <c r="A686" t="str">
        <f t="shared" si="20"/>
        <v>P685</v>
      </c>
      <c r="B686" t="s">
        <v>10</v>
      </c>
      <c r="C686" t="s">
        <v>9</v>
      </c>
      <c r="D686">
        <v>1318.06</v>
      </c>
      <c r="E686">
        <v>216</v>
      </c>
      <c r="F686">
        <v>4.5</v>
      </c>
      <c r="G686" t="b">
        <v>1</v>
      </c>
      <c r="H686">
        <f>(Table1[[#This Row],[price]]*Table1[[#This Row],[units_sold]])</f>
        <v>284700.95999999996</v>
      </c>
      <c r="I686" t="str">
        <f>IF(Table1[[#This Row],[in_stock]]=TRUE,"Available","Out of stock")</f>
        <v>Available</v>
      </c>
      <c r="J686" t="str">
        <f>IF(Table1[[#This Row],[rating]]&gt;=4,"High",IF(Table1[[#This Row],[rating]]&gt;=2.5,"Medium","Low"))</f>
        <v>High</v>
      </c>
      <c r="K686" t="str">
        <f>IF(Table1[[#This Row],[price]]&lt;200,"Budget",IF(Table1[[#This Row],[price]]&lt;600,"Mid-Range",IF(Table1[[#This Row],[price]]&lt;1000,"Premium","Luxury")))</f>
        <v>Luxury</v>
      </c>
      <c r="L686" t="str">
        <f>IF(Table1[[#This Row],[units_sold]]&lt;50,"Very Low",IF(Table1[[#This Row],[units_sold]]&lt;150,"Low",IF(Table1[[#This Row],[units_sold]]&lt;300,"Medium","High")))</f>
        <v>Medium</v>
      </c>
      <c r="M686" t="str">
        <f t="shared" si="21"/>
        <v>Normal</v>
      </c>
      <c r="N686">
        <f>(Table1[[#This Row],[price]]*0.7)</f>
        <v>922.64199999999994</v>
      </c>
    </row>
    <row r="687" spans="1:14" x14ac:dyDescent="0.35">
      <c r="A687" t="str">
        <f t="shared" si="20"/>
        <v>P686</v>
      </c>
      <c r="B687" t="s">
        <v>11</v>
      </c>
      <c r="C687" t="s">
        <v>9</v>
      </c>
      <c r="D687">
        <v>482.62</v>
      </c>
      <c r="E687">
        <v>226</v>
      </c>
      <c r="F687">
        <v>1.6</v>
      </c>
      <c r="G687" t="b">
        <v>1</v>
      </c>
      <c r="H687">
        <f>(Table1[[#This Row],[price]]*Table1[[#This Row],[units_sold]])</f>
        <v>109072.12</v>
      </c>
      <c r="I687" t="str">
        <f>IF(Table1[[#This Row],[in_stock]]=TRUE,"Available","Out of stock")</f>
        <v>Available</v>
      </c>
      <c r="J687" t="str">
        <f>IF(Table1[[#This Row],[rating]]&gt;=4,"High",IF(Table1[[#This Row],[rating]]&gt;=2.5,"Medium","Low"))</f>
        <v>Low</v>
      </c>
      <c r="K687" t="str">
        <f>IF(Table1[[#This Row],[price]]&lt;200,"Budget",IF(Table1[[#This Row],[price]]&lt;600,"Mid-Range",IF(Table1[[#This Row],[price]]&lt;1000,"Premium","Luxury")))</f>
        <v>Mid-Range</v>
      </c>
      <c r="L687" t="str">
        <f>IF(Table1[[#This Row],[units_sold]]&lt;50,"Very Low",IF(Table1[[#This Row],[units_sold]]&lt;150,"Low",IF(Table1[[#This Row],[units_sold]]&lt;300,"Medium","High")))</f>
        <v>Medium</v>
      </c>
      <c r="M687" t="str">
        <f t="shared" si="21"/>
        <v>Normal</v>
      </c>
      <c r="N687">
        <f>(Table1[[#This Row],[price]]*0.7)</f>
        <v>337.834</v>
      </c>
    </row>
    <row r="688" spans="1:14" x14ac:dyDescent="0.35">
      <c r="A688" t="str">
        <f t="shared" si="20"/>
        <v>P687</v>
      </c>
      <c r="B688" t="s">
        <v>15</v>
      </c>
      <c r="C688" t="s">
        <v>7</v>
      </c>
      <c r="D688">
        <v>1304.6600000000001</v>
      </c>
      <c r="E688">
        <v>470</v>
      </c>
      <c r="F688">
        <v>2.2000000000000002</v>
      </c>
      <c r="G688" t="b">
        <v>1</v>
      </c>
      <c r="H688">
        <f>(Table1[[#This Row],[price]]*Table1[[#This Row],[units_sold]])</f>
        <v>613190.20000000007</v>
      </c>
      <c r="I688" t="str">
        <f>IF(Table1[[#This Row],[in_stock]]=TRUE,"Available","Out of stock")</f>
        <v>Available</v>
      </c>
      <c r="J688" t="str">
        <f>IF(Table1[[#This Row],[rating]]&gt;=4,"High",IF(Table1[[#This Row],[rating]]&gt;=2.5,"Medium","Low"))</f>
        <v>Low</v>
      </c>
      <c r="K688" t="str">
        <f>IF(Table1[[#This Row],[price]]&lt;200,"Budget",IF(Table1[[#This Row],[price]]&lt;600,"Mid-Range",IF(Table1[[#This Row],[price]]&lt;1000,"Premium","Luxury")))</f>
        <v>Luxury</v>
      </c>
      <c r="L688" t="str">
        <f>IF(Table1[[#This Row],[units_sold]]&lt;50,"Very Low",IF(Table1[[#This Row],[units_sold]]&lt;150,"Low",IF(Table1[[#This Row],[units_sold]]&lt;300,"Medium","High")))</f>
        <v>High</v>
      </c>
      <c r="M688" t="str">
        <f t="shared" si="21"/>
        <v>Normal</v>
      </c>
      <c r="N688">
        <f>(Table1[[#This Row],[price]]*0.7)</f>
        <v>913.26199999999994</v>
      </c>
    </row>
    <row r="689" spans="1:14" x14ac:dyDescent="0.35">
      <c r="A689" t="str">
        <f t="shared" si="20"/>
        <v>P688</v>
      </c>
      <c r="B689" t="s">
        <v>15</v>
      </c>
      <c r="C689" t="s">
        <v>7</v>
      </c>
      <c r="D689">
        <v>569.75</v>
      </c>
      <c r="E689">
        <v>131</v>
      </c>
      <c r="F689">
        <v>2.2000000000000002</v>
      </c>
      <c r="G689" t="b">
        <v>1</v>
      </c>
      <c r="H689">
        <f>(Table1[[#This Row],[price]]*Table1[[#This Row],[units_sold]])</f>
        <v>74637.25</v>
      </c>
      <c r="I689" t="str">
        <f>IF(Table1[[#This Row],[in_stock]]=TRUE,"Available","Out of stock")</f>
        <v>Available</v>
      </c>
      <c r="J689" t="str">
        <f>IF(Table1[[#This Row],[rating]]&gt;=4,"High",IF(Table1[[#This Row],[rating]]&gt;=2.5,"Medium","Low"))</f>
        <v>Low</v>
      </c>
      <c r="K689" t="str">
        <f>IF(Table1[[#This Row],[price]]&lt;200,"Budget",IF(Table1[[#This Row],[price]]&lt;600,"Mid-Range",IF(Table1[[#This Row],[price]]&lt;1000,"Premium","Luxury")))</f>
        <v>Mid-Range</v>
      </c>
      <c r="L689" t="str">
        <f>IF(Table1[[#This Row],[units_sold]]&lt;50,"Very Low",IF(Table1[[#This Row],[units_sold]]&lt;150,"Low",IF(Table1[[#This Row],[units_sold]]&lt;300,"Medium","High")))</f>
        <v>Low</v>
      </c>
      <c r="M689" t="str">
        <f t="shared" si="21"/>
        <v>Normal</v>
      </c>
      <c r="N689">
        <f>(Table1[[#This Row],[price]]*0.7)</f>
        <v>398.82499999999999</v>
      </c>
    </row>
    <row r="690" spans="1:14" x14ac:dyDescent="0.35">
      <c r="A690" t="str">
        <f t="shared" si="20"/>
        <v>P689</v>
      </c>
      <c r="B690" t="s">
        <v>13</v>
      </c>
      <c r="C690" t="s">
        <v>9</v>
      </c>
      <c r="D690">
        <v>452.34</v>
      </c>
      <c r="E690">
        <v>76</v>
      </c>
      <c r="F690">
        <v>4.5</v>
      </c>
      <c r="G690" t="b">
        <v>1</v>
      </c>
      <c r="H690">
        <f>(Table1[[#This Row],[price]]*Table1[[#This Row],[units_sold]])</f>
        <v>34377.839999999997</v>
      </c>
      <c r="I690" t="str">
        <f>IF(Table1[[#This Row],[in_stock]]=TRUE,"Available","Out of stock")</f>
        <v>Available</v>
      </c>
      <c r="J690" t="str">
        <f>IF(Table1[[#This Row],[rating]]&gt;=4,"High",IF(Table1[[#This Row],[rating]]&gt;=2.5,"Medium","Low"))</f>
        <v>High</v>
      </c>
      <c r="K690" t="str">
        <f>IF(Table1[[#This Row],[price]]&lt;200,"Budget",IF(Table1[[#This Row],[price]]&lt;600,"Mid-Range",IF(Table1[[#This Row],[price]]&lt;1000,"Premium","Luxury")))</f>
        <v>Mid-Range</v>
      </c>
      <c r="L690" t="str">
        <f>IF(Table1[[#This Row],[units_sold]]&lt;50,"Very Low",IF(Table1[[#This Row],[units_sold]]&lt;150,"Low",IF(Table1[[#This Row],[units_sold]]&lt;300,"Medium","High")))</f>
        <v>Low</v>
      </c>
      <c r="M690" t="str">
        <f t="shared" si="21"/>
        <v>Normal</v>
      </c>
      <c r="N690">
        <f>(Table1[[#This Row],[price]]*0.7)</f>
        <v>316.63799999999998</v>
      </c>
    </row>
    <row r="691" spans="1:14" x14ac:dyDescent="0.35">
      <c r="A691" t="str">
        <f t="shared" si="20"/>
        <v>P690</v>
      </c>
      <c r="B691" t="s">
        <v>11</v>
      </c>
      <c r="C691" t="s">
        <v>9</v>
      </c>
      <c r="D691">
        <v>977.12</v>
      </c>
      <c r="E691">
        <v>476</v>
      </c>
      <c r="F691">
        <v>3.7</v>
      </c>
      <c r="G691" t="b">
        <v>1</v>
      </c>
      <c r="H691">
        <f>(Table1[[#This Row],[price]]*Table1[[#This Row],[units_sold]])</f>
        <v>465109.12</v>
      </c>
      <c r="I691" t="str">
        <f>IF(Table1[[#This Row],[in_stock]]=TRUE,"Available","Out of stock")</f>
        <v>Available</v>
      </c>
      <c r="J691" t="str">
        <f>IF(Table1[[#This Row],[rating]]&gt;=4,"High",IF(Table1[[#This Row],[rating]]&gt;=2.5,"Medium","Low"))</f>
        <v>Medium</v>
      </c>
      <c r="K691" t="str">
        <f>IF(Table1[[#This Row],[price]]&lt;200,"Budget",IF(Table1[[#This Row],[price]]&lt;600,"Mid-Range",IF(Table1[[#This Row],[price]]&lt;1000,"Premium","Luxury")))</f>
        <v>Premium</v>
      </c>
      <c r="L691" t="str">
        <f>IF(Table1[[#This Row],[units_sold]]&lt;50,"Very Low",IF(Table1[[#This Row],[units_sold]]&lt;150,"Low",IF(Table1[[#This Row],[units_sold]]&lt;300,"Medium","High")))</f>
        <v>High</v>
      </c>
      <c r="M691" t="str">
        <f t="shared" si="21"/>
        <v>Normal</v>
      </c>
      <c r="N691">
        <f>(Table1[[#This Row],[price]]*0.7)</f>
        <v>683.98399999999992</v>
      </c>
    </row>
    <row r="692" spans="1:14" x14ac:dyDescent="0.35">
      <c r="A692" t="str">
        <f t="shared" si="20"/>
        <v>P691</v>
      </c>
      <c r="B692" t="s">
        <v>16</v>
      </c>
      <c r="C692" t="s">
        <v>9</v>
      </c>
      <c r="D692">
        <v>499.29</v>
      </c>
      <c r="E692">
        <v>286</v>
      </c>
      <c r="F692">
        <v>4.2</v>
      </c>
      <c r="G692" t="b">
        <v>0</v>
      </c>
      <c r="H692">
        <f>(Table1[[#This Row],[price]]*Table1[[#This Row],[units_sold]])</f>
        <v>142796.94</v>
      </c>
      <c r="I692" t="str">
        <f>IF(Table1[[#This Row],[in_stock]]=TRUE,"Available","Out of stock")</f>
        <v>Out of stock</v>
      </c>
      <c r="J692" t="str">
        <f>IF(Table1[[#This Row],[rating]]&gt;=4,"High",IF(Table1[[#This Row],[rating]]&gt;=2.5,"Medium","Low"))</f>
        <v>High</v>
      </c>
      <c r="K692" t="str">
        <f>IF(Table1[[#This Row],[price]]&lt;200,"Budget",IF(Table1[[#This Row],[price]]&lt;600,"Mid-Range",IF(Table1[[#This Row],[price]]&lt;1000,"Premium","Luxury")))</f>
        <v>Mid-Range</v>
      </c>
      <c r="L692" t="str">
        <f>IF(Table1[[#This Row],[units_sold]]&lt;50,"Very Low",IF(Table1[[#This Row],[units_sold]]&lt;150,"Low",IF(Table1[[#This Row],[units_sold]]&lt;300,"Medium","High")))</f>
        <v>Medium</v>
      </c>
      <c r="M692" t="str">
        <f t="shared" si="21"/>
        <v>Normal</v>
      </c>
      <c r="N692">
        <f>(Table1[[#This Row],[price]]*0.7)</f>
        <v>349.50299999999999</v>
      </c>
    </row>
    <row r="693" spans="1:14" x14ac:dyDescent="0.35">
      <c r="A693" t="str">
        <f t="shared" si="20"/>
        <v>P692</v>
      </c>
      <c r="B693" t="s">
        <v>15</v>
      </c>
      <c r="C693" t="s">
        <v>7</v>
      </c>
      <c r="D693">
        <v>949.01</v>
      </c>
      <c r="E693">
        <v>474</v>
      </c>
      <c r="F693">
        <v>2</v>
      </c>
      <c r="G693" t="b">
        <v>1</v>
      </c>
      <c r="H693">
        <f>(Table1[[#This Row],[price]]*Table1[[#This Row],[units_sold]])</f>
        <v>449830.74</v>
      </c>
      <c r="I693" t="str">
        <f>IF(Table1[[#This Row],[in_stock]]=TRUE,"Available","Out of stock")</f>
        <v>Available</v>
      </c>
      <c r="J693" t="str">
        <f>IF(Table1[[#This Row],[rating]]&gt;=4,"High",IF(Table1[[#This Row],[rating]]&gt;=2.5,"Medium","Low"))</f>
        <v>Low</v>
      </c>
      <c r="K693" t="str">
        <f>IF(Table1[[#This Row],[price]]&lt;200,"Budget",IF(Table1[[#This Row],[price]]&lt;600,"Mid-Range",IF(Table1[[#This Row],[price]]&lt;1000,"Premium","Luxury")))</f>
        <v>Premium</v>
      </c>
      <c r="L693" t="str">
        <f>IF(Table1[[#This Row],[units_sold]]&lt;50,"Very Low",IF(Table1[[#This Row],[units_sold]]&lt;150,"Low",IF(Table1[[#This Row],[units_sold]]&lt;300,"Medium","High")))</f>
        <v>High</v>
      </c>
      <c r="M693" t="str">
        <f t="shared" si="21"/>
        <v>Normal</v>
      </c>
      <c r="N693">
        <f>(Table1[[#This Row],[price]]*0.7)</f>
        <v>664.3069999999999</v>
      </c>
    </row>
    <row r="694" spans="1:14" x14ac:dyDescent="0.35">
      <c r="A694" t="str">
        <f t="shared" si="20"/>
        <v>P693</v>
      </c>
      <c r="B694" t="s">
        <v>12</v>
      </c>
      <c r="C694" t="s">
        <v>7</v>
      </c>
      <c r="D694">
        <v>918.65</v>
      </c>
      <c r="E694">
        <v>496</v>
      </c>
      <c r="F694">
        <v>3.5</v>
      </c>
      <c r="G694" t="b">
        <v>1</v>
      </c>
      <c r="H694">
        <f>(Table1[[#This Row],[price]]*Table1[[#This Row],[units_sold]])</f>
        <v>455650.39999999997</v>
      </c>
      <c r="I694" t="str">
        <f>IF(Table1[[#This Row],[in_stock]]=TRUE,"Available","Out of stock")</f>
        <v>Available</v>
      </c>
      <c r="J694" t="str">
        <f>IF(Table1[[#This Row],[rating]]&gt;=4,"High",IF(Table1[[#This Row],[rating]]&gt;=2.5,"Medium","Low"))</f>
        <v>Medium</v>
      </c>
      <c r="K694" t="str">
        <f>IF(Table1[[#This Row],[price]]&lt;200,"Budget",IF(Table1[[#This Row],[price]]&lt;600,"Mid-Range",IF(Table1[[#This Row],[price]]&lt;1000,"Premium","Luxury")))</f>
        <v>Premium</v>
      </c>
      <c r="L694" t="str">
        <f>IF(Table1[[#This Row],[units_sold]]&lt;50,"Very Low",IF(Table1[[#This Row],[units_sold]]&lt;150,"Low",IF(Table1[[#This Row],[units_sold]]&lt;300,"Medium","High")))</f>
        <v>High</v>
      </c>
      <c r="M694" t="str">
        <f t="shared" si="21"/>
        <v>Normal</v>
      </c>
      <c r="N694">
        <f>(Table1[[#This Row],[price]]*0.7)</f>
        <v>643.05499999999995</v>
      </c>
    </row>
    <row r="695" spans="1:14" x14ac:dyDescent="0.35">
      <c r="A695" t="str">
        <f t="shared" si="20"/>
        <v>P694</v>
      </c>
      <c r="B695" t="s">
        <v>8</v>
      </c>
      <c r="C695" t="s">
        <v>9</v>
      </c>
      <c r="D695">
        <v>849.52</v>
      </c>
      <c r="E695">
        <v>277</v>
      </c>
      <c r="F695">
        <v>3.3</v>
      </c>
      <c r="G695" t="b">
        <v>1</v>
      </c>
      <c r="H695">
        <f>(Table1[[#This Row],[price]]*Table1[[#This Row],[units_sold]])</f>
        <v>235317.04</v>
      </c>
      <c r="I695" t="str">
        <f>IF(Table1[[#This Row],[in_stock]]=TRUE,"Available","Out of stock")</f>
        <v>Available</v>
      </c>
      <c r="J695" t="str">
        <f>IF(Table1[[#This Row],[rating]]&gt;=4,"High",IF(Table1[[#This Row],[rating]]&gt;=2.5,"Medium","Low"))</f>
        <v>Medium</v>
      </c>
      <c r="K695" t="str">
        <f>IF(Table1[[#This Row],[price]]&lt;200,"Budget",IF(Table1[[#This Row],[price]]&lt;600,"Mid-Range",IF(Table1[[#This Row],[price]]&lt;1000,"Premium","Luxury")))</f>
        <v>Premium</v>
      </c>
      <c r="L695" t="str">
        <f>IF(Table1[[#This Row],[units_sold]]&lt;50,"Very Low",IF(Table1[[#This Row],[units_sold]]&lt;150,"Low",IF(Table1[[#This Row],[units_sold]]&lt;300,"Medium","High")))</f>
        <v>Medium</v>
      </c>
      <c r="M695" t="str">
        <f t="shared" si="21"/>
        <v>Normal</v>
      </c>
      <c r="N695">
        <f>(Table1[[#This Row],[price]]*0.7)</f>
        <v>594.66399999999999</v>
      </c>
    </row>
    <row r="696" spans="1:14" x14ac:dyDescent="0.35">
      <c r="A696" t="str">
        <f t="shared" si="20"/>
        <v>P695</v>
      </c>
      <c r="B696" t="s">
        <v>16</v>
      </c>
      <c r="C696" t="s">
        <v>9</v>
      </c>
      <c r="D696">
        <v>576.83000000000004</v>
      </c>
      <c r="E696">
        <v>156</v>
      </c>
      <c r="F696">
        <v>4.3</v>
      </c>
      <c r="G696" t="b">
        <v>1</v>
      </c>
      <c r="H696">
        <f>(Table1[[#This Row],[price]]*Table1[[#This Row],[units_sold]])</f>
        <v>89985.48000000001</v>
      </c>
      <c r="I696" t="str">
        <f>IF(Table1[[#This Row],[in_stock]]=TRUE,"Available","Out of stock")</f>
        <v>Available</v>
      </c>
      <c r="J696" t="str">
        <f>IF(Table1[[#This Row],[rating]]&gt;=4,"High",IF(Table1[[#This Row],[rating]]&gt;=2.5,"Medium","Low"))</f>
        <v>High</v>
      </c>
      <c r="K696" t="str">
        <f>IF(Table1[[#This Row],[price]]&lt;200,"Budget",IF(Table1[[#This Row],[price]]&lt;600,"Mid-Range",IF(Table1[[#This Row],[price]]&lt;1000,"Premium","Luxury")))</f>
        <v>Mid-Range</v>
      </c>
      <c r="L696" t="str">
        <f>IF(Table1[[#This Row],[units_sold]]&lt;50,"Very Low",IF(Table1[[#This Row],[units_sold]]&lt;150,"Low",IF(Table1[[#This Row],[units_sold]]&lt;300,"Medium","High")))</f>
        <v>Medium</v>
      </c>
      <c r="M696" t="str">
        <f t="shared" si="21"/>
        <v>Normal</v>
      </c>
      <c r="N696">
        <f>(Table1[[#This Row],[price]]*0.7)</f>
        <v>403.78100000000001</v>
      </c>
    </row>
    <row r="697" spans="1:14" x14ac:dyDescent="0.35">
      <c r="A697" t="str">
        <f t="shared" si="20"/>
        <v>P696</v>
      </c>
      <c r="B697" t="s">
        <v>14</v>
      </c>
      <c r="C697" t="s">
        <v>9</v>
      </c>
      <c r="D697">
        <v>827.26</v>
      </c>
      <c r="E697">
        <v>248</v>
      </c>
      <c r="F697">
        <v>4.5999999999999996</v>
      </c>
      <c r="G697" t="b">
        <v>1</v>
      </c>
      <c r="H697">
        <f>(Table1[[#This Row],[price]]*Table1[[#This Row],[units_sold]])</f>
        <v>205160.48</v>
      </c>
      <c r="I697" t="str">
        <f>IF(Table1[[#This Row],[in_stock]]=TRUE,"Available","Out of stock")</f>
        <v>Available</v>
      </c>
      <c r="J697" t="str">
        <f>IF(Table1[[#This Row],[rating]]&gt;=4,"High",IF(Table1[[#This Row],[rating]]&gt;=2.5,"Medium","Low"))</f>
        <v>High</v>
      </c>
      <c r="K697" t="str">
        <f>IF(Table1[[#This Row],[price]]&lt;200,"Budget",IF(Table1[[#This Row],[price]]&lt;600,"Mid-Range",IF(Table1[[#This Row],[price]]&lt;1000,"Premium","Luxury")))</f>
        <v>Premium</v>
      </c>
      <c r="L697" t="str">
        <f>IF(Table1[[#This Row],[units_sold]]&lt;50,"Very Low",IF(Table1[[#This Row],[units_sold]]&lt;150,"Low",IF(Table1[[#This Row],[units_sold]]&lt;300,"Medium","High")))</f>
        <v>Medium</v>
      </c>
      <c r="M697" t="str">
        <f t="shared" si="21"/>
        <v>Normal</v>
      </c>
      <c r="N697">
        <f>(Table1[[#This Row],[price]]*0.7)</f>
        <v>579.08199999999999</v>
      </c>
    </row>
    <row r="698" spans="1:14" x14ac:dyDescent="0.35">
      <c r="A698" t="str">
        <f t="shared" si="20"/>
        <v>P697</v>
      </c>
      <c r="B698" t="s">
        <v>12</v>
      </c>
      <c r="C698" t="s">
        <v>7</v>
      </c>
      <c r="D698">
        <v>898.76</v>
      </c>
      <c r="E698">
        <v>218</v>
      </c>
      <c r="F698">
        <v>1</v>
      </c>
      <c r="G698" t="b">
        <v>1</v>
      </c>
      <c r="H698">
        <f>(Table1[[#This Row],[price]]*Table1[[#This Row],[units_sold]])</f>
        <v>195929.68</v>
      </c>
      <c r="I698" t="str">
        <f>IF(Table1[[#This Row],[in_stock]]=TRUE,"Available","Out of stock")</f>
        <v>Available</v>
      </c>
      <c r="J698" t="str">
        <f>IF(Table1[[#This Row],[rating]]&gt;=4,"High",IF(Table1[[#This Row],[rating]]&gt;=2.5,"Medium","Low"))</f>
        <v>Low</v>
      </c>
      <c r="K698" t="str">
        <f>IF(Table1[[#This Row],[price]]&lt;200,"Budget",IF(Table1[[#This Row],[price]]&lt;600,"Mid-Range",IF(Table1[[#This Row],[price]]&lt;1000,"Premium","Luxury")))</f>
        <v>Premium</v>
      </c>
      <c r="L698" t="str">
        <f>IF(Table1[[#This Row],[units_sold]]&lt;50,"Very Low",IF(Table1[[#This Row],[units_sold]]&lt;150,"Low",IF(Table1[[#This Row],[units_sold]]&lt;300,"Medium","High")))</f>
        <v>Medium</v>
      </c>
      <c r="M698" t="str">
        <f t="shared" si="21"/>
        <v>Normal</v>
      </c>
      <c r="N698">
        <f>(Table1[[#This Row],[price]]*0.7)</f>
        <v>629.13199999999995</v>
      </c>
    </row>
    <row r="699" spans="1:14" x14ac:dyDescent="0.35">
      <c r="A699" t="str">
        <f t="shared" si="20"/>
        <v>P698</v>
      </c>
      <c r="B699" t="s">
        <v>12</v>
      </c>
      <c r="C699" t="s">
        <v>7</v>
      </c>
      <c r="D699">
        <v>823.07</v>
      </c>
      <c r="E699">
        <v>190</v>
      </c>
      <c r="F699">
        <v>3.7</v>
      </c>
      <c r="G699" t="b">
        <v>1</v>
      </c>
      <c r="H699">
        <f>(Table1[[#This Row],[price]]*Table1[[#This Row],[units_sold]])</f>
        <v>156383.30000000002</v>
      </c>
      <c r="I699" t="str">
        <f>IF(Table1[[#This Row],[in_stock]]=TRUE,"Available","Out of stock")</f>
        <v>Available</v>
      </c>
      <c r="J699" t="str">
        <f>IF(Table1[[#This Row],[rating]]&gt;=4,"High",IF(Table1[[#This Row],[rating]]&gt;=2.5,"Medium","Low"))</f>
        <v>Medium</v>
      </c>
      <c r="K699" t="str">
        <f>IF(Table1[[#This Row],[price]]&lt;200,"Budget",IF(Table1[[#This Row],[price]]&lt;600,"Mid-Range",IF(Table1[[#This Row],[price]]&lt;1000,"Premium","Luxury")))</f>
        <v>Premium</v>
      </c>
      <c r="L699" t="str">
        <f>IF(Table1[[#This Row],[units_sold]]&lt;50,"Very Low",IF(Table1[[#This Row],[units_sold]]&lt;150,"Low",IF(Table1[[#This Row],[units_sold]]&lt;300,"Medium","High")))</f>
        <v>Medium</v>
      </c>
      <c r="M699" t="str">
        <f t="shared" si="21"/>
        <v>Normal</v>
      </c>
      <c r="N699">
        <f>(Table1[[#This Row],[price]]*0.7)</f>
        <v>576.149</v>
      </c>
    </row>
    <row r="700" spans="1:14" x14ac:dyDescent="0.35">
      <c r="A700" t="str">
        <f t="shared" si="20"/>
        <v>P699</v>
      </c>
      <c r="B700" t="s">
        <v>11</v>
      </c>
      <c r="C700" t="s">
        <v>9</v>
      </c>
      <c r="D700">
        <v>672.18</v>
      </c>
      <c r="E700">
        <v>417</v>
      </c>
      <c r="F700">
        <v>1.2</v>
      </c>
      <c r="G700" t="b">
        <v>1</v>
      </c>
      <c r="H700">
        <f>(Table1[[#This Row],[price]]*Table1[[#This Row],[units_sold]])</f>
        <v>280299.06</v>
      </c>
      <c r="I700" t="str">
        <f>IF(Table1[[#This Row],[in_stock]]=TRUE,"Available","Out of stock")</f>
        <v>Available</v>
      </c>
      <c r="J700" t="str">
        <f>IF(Table1[[#This Row],[rating]]&gt;=4,"High",IF(Table1[[#This Row],[rating]]&gt;=2.5,"Medium","Low"))</f>
        <v>Low</v>
      </c>
      <c r="K700" t="str">
        <f>IF(Table1[[#This Row],[price]]&lt;200,"Budget",IF(Table1[[#This Row],[price]]&lt;600,"Mid-Range",IF(Table1[[#This Row],[price]]&lt;1000,"Premium","Luxury")))</f>
        <v>Premium</v>
      </c>
      <c r="L700" t="str">
        <f>IF(Table1[[#This Row],[units_sold]]&lt;50,"Very Low",IF(Table1[[#This Row],[units_sold]]&lt;150,"Low",IF(Table1[[#This Row],[units_sold]]&lt;300,"Medium","High")))</f>
        <v>High</v>
      </c>
      <c r="M700" t="str">
        <f t="shared" si="21"/>
        <v>Normal</v>
      </c>
      <c r="N700">
        <f>(Table1[[#This Row],[price]]*0.7)</f>
        <v>470.52599999999995</v>
      </c>
    </row>
    <row r="701" spans="1:14" x14ac:dyDescent="0.35">
      <c r="A701" t="str">
        <f t="shared" si="20"/>
        <v>P700</v>
      </c>
      <c r="B701" t="s">
        <v>13</v>
      </c>
      <c r="C701" t="s">
        <v>9</v>
      </c>
      <c r="D701">
        <v>31.85</v>
      </c>
      <c r="E701">
        <v>469</v>
      </c>
      <c r="F701">
        <v>3.2</v>
      </c>
      <c r="G701" t="b">
        <v>1</v>
      </c>
      <c r="H701">
        <f>(Table1[[#This Row],[price]]*Table1[[#This Row],[units_sold]])</f>
        <v>14937.650000000001</v>
      </c>
      <c r="I701" t="str">
        <f>IF(Table1[[#This Row],[in_stock]]=TRUE,"Available","Out of stock")</f>
        <v>Available</v>
      </c>
      <c r="J701" t="str">
        <f>IF(Table1[[#This Row],[rating]]&gt;=4,"High",IF(Table1[[#This Row],[rating]]&gt;=2.5,"Medium","Low"))</f>
        <v>Medium</v>
      </c>
      <c r="K701" t="str">
        <f>IF(Table1[[#This Row],[price]]&lt;200,"Budget",IF(Table1[[#This Row],[price]]&lt;600,"Mid-Range",IF(Table1[[#This Row],[price]]&lt;1000,"Premium","Luxury")))</f>
        <v>Budget</v>
      </c>
      <c r="L701" t="str">
        <f>IF(Table1[[#This Row],[units_sold]]&lt;50,"Very Low",IF(Table1[[#This Row],[units_sold]]&lt;150,"Low",IF(Table1[[#This Row],[units_sold]]&lt;300,"Medium","High")))</f>
        <v>High</v>
      </c>
      <c r="M701" t="str">
        <f t="shared" si="21"/>
        <v>Normal</v>
      </c>
      <c r="N701">
        <f>(Table1[[#This Row],[price]]*0.7)</f>
        <v>22.294999999999998</v>
      </c>
    </row>
    <row r="702" spans="1:14" x14ac:dyDescent="0.35">
      <c r="A702" t="str">
        <f t="shared" si="20"/>
        <v>P701</v>
      </c>
      <c r="B702" t="s">
        <v>14</v>
      </c>
      <c r="C702" t="s">
        <v>9</v>
      </c>
      <c r="D702">
        <v>884.72</v>
      </c>
      <c r="E702">
        <v>163</v>
      </c>
      <c r="F702">
        <v>2.2000000000000002</v>
      </c>
      <c r="G702" t="b">
        <v>1</v>
      </c>
      <c r="H702">
        <f>(Table1[[#This Row],[price]]*Table1[[#This Row],[units_sold]])</f>
        <v>144209.36000000002</v>
      </c>
      <c r="I702" t="str">
        <f>IF(Table1[[#This Row],[in_stock]]=TRUE,"Available","Out of stock")</f>
        <v>Available</v>
      </c>
      <c r="J702" t="str">
        <f>IF(Table1[[#This Row],[rating]]&gt;=4,"High",IF(Table1[[#This Row],[rating]]&gt;=2.5,"Medium","Low"))</f>
        <v>Low</v>
      </c>
      <c r="K702" t="str">
        <f>IF(Table1[[#This Row],[price]]&lt;200,"Budget",IF(Table1[[#This Row],[price]]&lt;600,"Mid-Range",IF(Table1[[#This Row],[price]]&lt;1000,"Premium","Luxury")))</f>
        <v>Premium</v>
      </c>
      <c r="L702" t="str">
        <f>IF(Table1[[#This Row],[units_sold]]&lt;50,"Very Low",IF(Table1[[#This Row],[units_sold]]&lt;150,"Low",IF(Table1[[#This Row],[units_sold]]&lt;300,"Medium","High")))</f>
        <v>Medium</v>
      </c>
      <c r="M702" t="str">
        <f t="shared" si="21"/>
        <v>Normal</v>
      </c>
      <c r="N702">
        <f>(Table1[[#This Row],[price]]*0.7)</f>
        <v>619.30399999999997</v>
      </c>
    </row>
    <row r="703" spans="1:14" x14ac:dyDescent="0.35">
      <c r="A703" t="str">
        <f t="shared" si="20"/>
        <v>P702</v>
      </c>
      <c r="B703" t="s">
        <v>15</v>
      </c>
      <c r="C703" t="s">
        <v>7</v>
      </c>
      <c r="D703">
        <v>260.98</v>
      </c>
      <c r="E703">
        <v>180</v>
      </c>
      <c r="F703">
        <v>2.2000000000000002</v>
      </c>
      <c r="G703" t="b">
        <v>1</v>
      </c>
      <c r="H703">
        <f>(Table1[[#This Row],[price]]*Table1[[#This Row],[units_sold]])</f>
        <v>46976.4</v>
      </c>
      <c r="I703" t="str">
        <f>IF(Table1[[#This Row],[in_stock]]=TRUE,"Available","Out of stock")</f>
        <v>Available</v>
      </c>
      <c r="J703" t="str">
        <f>IF(Table1[[#This Row],[rating]]&gt;=4,"High",IF(Table1[[#This Row],[rating]]&gt;=2.5,"Medium","Low"))</f>
        <v>Low</v>
      </c>
      <c r="K703" t="str">
        <f>IF(Table1[[#This Row],[price]]&lt;200,"Budget",IF(Table1[[#This Row],[price]]&lt;600,"Mid-Range",IF(Table1[[#This Row],[price]]&lt;1000,"Premium","Luxury")))</f>
        <v>Mid-Range</v>
      </c>
      <c r="L703" t="str">
        <f>IF(Table1[[#This Row],[units_sold]]&lt;50,"Very Low",IF(Table1[[#This Row],[units_sold]]&lt;150,"Low",IF(Table1[[#This Row],[units_sold]]&lt;300,"Medium","High")))</f>
        <v>Medium</v>
      </c>
      <c r="M703" t="str">
        <f t="shared" si="21"/>
        <v>Normal</v>
      </c>
      <c r="N703">
        <f>(Table1[[#This Row],[price]]*0.7)</f>
        <v>182.68600000000001</v>
      </c>
    </row>
    <row r="704" spans="1:14" x14ac:dyDescent="0.35">
      <c r="A704" t="str">
        <f t="shared" si="20"/>
        <v>P703</v>
      </c>
      <c r="B704" t="s">
        <v>11</v>
      </c>
      <c r="C704" t="s">
        <v>9</v>
      </c>
      <c r="D704">
        <v>967.44</v>
      </c>
      <c r="E704">
        <v>34</v>
      </c>
      <c r="F704">
        <v>2.4</v>
      </c>
      <c r="G704" t="b">
        <v>1</v>
      </c>
      <c r="H704">
        <f>(Table1[[#This Row],[price]]*Table1[[#This Row],[units_sold]])</f>
        <v>32892.959999999999</v>
      </c>
      <c r="I704" t="str">
        <f>IF(Table1[[#This Row],[in_stock]]=TRUE,"Available","Out of stock")</f>
        <v>Available</v>
      </c>
      <c r="J704" t="str">
        <f>IF(Table1[[#This Row],[rating]]&gt;=4,"High",IF(Table1[[#This Row],[rating]]&gt;=2.5,"Medium","Low"))</f>
        <v>Low</v>
      </c>
      <c r="K704" t="str">
        <f>IF(Table1[[#This Row],[price]]&lt;200,"Budget",IF(Table1[[#This Row],[price]]&lt;600,"Mid-Range",IF(Table1[[#This Row],[price]]&lt;1000,"Premium","Luxury")))</f>
        <v>Premium</v>
      </c>
      <c r="L704" t="str">
        <f>IF(Table1[[#This Row],[units_sold]]&lt;50,"Very Low",IF(Table1[[#This Row],[units_sold]]&lt;150,"Low",IF(Table1[[#This Row],[units_sold]]&lt;300,"Medium","High")))</f>
        <v>Very Low</v>
      </c>
      <c r="M704" t="str">
        <f t="shared" si="21"/>
        <v>Normal</v>
      </c>
      <c r="N704">
        <f>(Table1[[#This Row],[price]]*0.7)</f>
        <v>677.20799999999997</v>
      </c>
    </row>
    <row r="705" spans="1:14" x14ac:dyDescent="0.35">
      <c r="A705" t="str">
        <f t="shared" si="20"/>
        <v>P704</v>
      </c>
      <c r="B705" t="s">
        <v>15</v>
      </c>
      <c r="C705" t="s">
        <v>7</v>
      </c>
      <c r="D705">
        <v>1141.42</v>
      </c>
      <c r="E705">
        <v>41</v>
      </c>
      <c r="F705">
        <v>3.5</v>
      </c>
      <c r="G705" t="b">
        <v>1</v>
      </c>
      <c r="H705">
        <f>(Table1[[#This Row],[price]]*Table1[[#This Row],[units_sold]])</f>
        <v>46798.22</v>
      </c>
      <c r="I705" t="str">
        <f>IF(Table1[[#This Row],[in_stock]]=TRUE,"Available","Out of stock")</f>
        <v>Available</v>
      </c>
      <c r="J705" t="str">
        <f>IF(Table1[[#This Row],[rating]]&gt;=4,"High",IF(Table1[[#This Row],[rating]]&gt;=2.5,"Medium","Low"))</f>
        <v>Medium</v>
      </c>
      <c r="K705" t="str">
        <f>IF(Table1[[#This Row],[price]]&lt;200,"Budget",IF(Table1[[#This Row],[price]]&lt;600,"Mid-Range",IF(Table1[[#This Row],[price]]&lt;1000,"Premium","Luxury")))</f>
        <v>Luxury</v>
      </c>
      <c r="L705" t="str">
        <f>IF(Table1[[#This Row],[units_sold]]&lt;50,"Very Low",IF(Table1[[#This Row],[units_sold]]&lt;150,"Low",IF(Table1[[#This Row],[units_sold]]&lt;300,"Medium","High")))</f>
        <v>Very Low</v>
      </c>
      <c r="M705" t="str">
        <f t="shared" si="21"/>
        <v>Normal</v>
      </c>
      <c r="N705">
        <f>(Table1[[#This Row],[price]]*0.7)</f>
        <v>798.99400000000003</v>
      </c>
    </row>
    <row r="706" spans="1:14" x14ac:dyDescent="0.35">
      <c r="A706" t="str">
        <f t="shared" ref="A706:A769" si="22">"P"&amp;TEXT(ROW()-1,"000")</f>
        <v>P705</v>
      </c>
      <c r="B706" t="s">
        <v>11</v>
      </c>
      <c r="C706" t="s">
        <v>9</v>
      </c>
      <c r="D706">
        <v>755.66</v>
      </c>
      <c r="E706">
        <v>307</v>
      </c>
      <c r="F706">
        <v>2.2999999999999998</v>
      </c>
      <c r="G706" t="b">
        <v>1</v>
      </c>
      <c r="H706">
        <f>(Table1[[#This Row],[price]]*Table1[[#This Row],[units_sold]])</f>
        <v>231987.62</v>
      </c>
      <c r="I706" t="str">
        <f>IF(Table1[[#This Row],[in_stock]]=TRUE,"Available","Out of stock")</f>
        <v>Available</v>
      </c>
      <c r="J706" t="str">
        <f>IF(Table1[[#This Row],[rating]]&gt;=4,"High",IF(Table1[[#This Row],[rating]]&gt;=2.5,"Medium","Low"))</f>
        <v>Low</v>
      </c>
      <c r="K706" t="str">
        <f>IF(Table1[[#This Row],[price]]&lt;200,"Budget",IF(Table1[[#This Row],[price]]&lt;600,"Mid-Range",IF(Table1[[#This Row],[price]]&lt;1000,"Premium","Luxury")))</f>
        <v>Premium</v>
      </c>
      <c r="L706" t="str">
        <f>IF(Table1[[#This Row],[units_sold]]&lt;50,"Very Low",IF(Table1[[#This Row],[units_sold]]&lt;150,"Low",IF(Table1[[#This Row],[units_sold]]&lt;300,"Medium","High")))</f>
        <v>High</v>
      </c>
      <c r="M706" t="str">
        <f t="shared" ref="M706:M769" si="23">IF(AND(E706&gt;300,G706=FALSE),"High Demand - Out of Stock","Normal")</f>
        <v>Normal</v>
      </c>
      <c r="N706">
        <f>(Table1[[#This Row],[price]]*0.7)</f>
        <v>528.96199999999999</v>
      </c>
    </row>
    <row r="707" spans="1:14" x14ac:dyDescent="0.35">
      <c r="A707" t="str">
        <f t="shared" si="22"/>
        <v>P706</v>
      </c>
      <c r="B707" t="s">
        <v>11</v>
      </c>
      <c r="C707" t="s">
        <v>9</v>
      </c>
      <c r="D707">
        <v>818.12</v>
      </c>
      <c r="E707">
        <v>431</v>
      </c>
      <c r="F707">
        <v>3.9</v>
      </c>
      <c r="G707" t="b">
        <v>0</v>
      </c>
      <c r="H707">
        <f>(Table1[[#This Row],[price]]*Table1[[#This Row],[units_sold]])</f>
        <v>352609.72000000003</v>
      </c>
      <c r="I707" t="str">
        <f>IF(Table1[[#This Row],[in_stock]]=TRUE,"Available","Out of stock")</f>
        <v>Out of stock</v>
      </c>
      <c r="J707" t="str">
        <f>IF(Table1[[#This Row],[rating]]&gt;=4,"High",IF(Table1[[#This Row],[rating]]&gt;=2.5,"Medium","Low"))</f>
        <v>Medium</v>
      </c>
      <c r="K707" t="str">
        <f>IF(Table1[[#This Row],[price]]&lt;200,"Budget",IF(Table1[[#This Row],[price]]&lt;600,"Mid-Range",IF(Table1[[#This Row],[price]]&lt;1000,"Premium","Luxury")))</f>
        <v>Premium</v>
      </c>
      <c r="L707" t="str">
        <f>IF(Table1[[#This Row],[units_sold]]&lt;50,"Very Low",IF(Table1[[#This Row],[units_sold]]&lt;150,"Low",IF(Table1[[#This Row],[units_sold]]&lt;300,"Medium","High")))</f>
        <v>High</v>
      </c>
      <c r="M707" t="str">
        <f t="shared" si="23"/>
        <v>High Demand - Out of Stock</v>
      </c>
      <c r="N707">
        <f>(Table1[[#This Row],[price]]*0.7)</f>
        <v>572.68399999999997</v>
      </c>
    </row>
    <row r="708" spans="1:14" x14ac:dyDescent="0.35">
      <c r="A708" t="str">
        <f t="shared" si="22"/>
        <v>P707</v>
      </c>
      <c r="B708" t="s">
        <v>11</v>
      </c>
      <c r="C708" t="s">
        <v>9</v>
      </c>
      <c r="D708">
        <v>1427.7</v>
      </c>
      <c r="E708">
        <v>338</v>
      </c>
      <c r="F708">
        <v>2.6</v>
      </c>
      <c r="G708" t="b">
        <v>0</v>
      </c>
      <c r="H708">
        <f>(Table1[[#This Row],[price]]*Table1[[#This Row],[units_sold]])</f>
        <v>482562.60000000003</v>
      </c>
      <c r="I708" t="str">
        <f>IF(Table1[[#This Row],[in_stock]]=TRUE,"Available","Out of stock")</f>
        <v>Out of stock</v>
      </c>
      <c r="J708" t="str">
        <f>IF(Table1[[#This Row],[rating]]&gt;=4,"High",IF(Table1[[#This Row],[rating]]&gt;=2.5,"Medium","Low"))</f>
        <v>Medium</v>
      </c>
      <c r="K708" t="str">
        <f>IF(Table1[[#This Row],[price]]&lt;200,"Budget",IF(Table1[[#This Row],[price]]&lt;600,"Mid-Range",IF(Table1[[#This Row],[price]]&lt;1000,"Premium","Luxury")))</f>
        <v>Luxury</v>
      </c>
      <c r="L708" t="str">
        <f>IF(Table1[[#This Row],[units_sold]]&lt;50,"Very Low",IF(Table1[[#This Row],[units_sold]]&lt;150,"Low",IF(Table1[[#This Row],[units_sold]]&lt;300,"Medium","High")))</f>
        <v>High</v>
      </c>
      <c r="M708" t="str">
        <f t="shared" si="23"/>
        <v>High Demand - Out of Stock</v>
      </c>
      <c r="N708">
        <f>(Table1[[#This Row],[price]]*0.7)</f>
        <v>999.39</v>
      </c>
    </row>
    <row r="709" spans="1:14" x14ac:dyDescent="0.35">
      <c r="A709" t="str">
        <f t="shared" si="22"/>
        <v>P708</v>
      </c>
      <c r="B709" t="s">
        <v>13</v>
      </c>
      <c r="C709" t="s">
        <v>9</v>
      </c>
      <c r="D709">
        <v>1272.28</v>
      </c>
      <c r="E709">
        <v>314</v>
      </c>
      <c r="F709">
        <v>1.3</v>
      </c>
      <c r="G709" t="b">
        <v>1</v>
      </c>
      <c r="H709">
        <f>(Table1[[#This Row],[price]]*Table1[[#This Row],[units_sold]])</f>
        <v>399495.92</v>
      </c>
      <c r="I709" t="str">
        <f>IF(Table1[[#This Row],[in_stock]]=TRUE,"Available","Out of stock")</f>
        <v>Available</v>
      </c>
      <c r="J709" t="str">
        <f>IF(Table1[[#This Row],[rating]]&gt;=4,"High",IF(Table1[[#This Row],[rating]]&gt;=2.5,"Medium","Low"))</f>
        <v>Low</v>
      </c>
      <c r="K709" t="str">
        <f>IF(Table1[[#This Row],[price]]&lt;200,"Budget",IF(Table1[[#This Row],[price]]&lt;600,"Mid-Range",IF(Table1[[#This Row],[price]]&lt;1000,"Premium","Luxury")))</f>
        <v>Luxury</v>
      </c>
      <c r="L709" t="str">
        <f>IF(Table1[[#This Row],[units_sold]]&lt;50,"Very Low",IF(Table1[[#This Row],[units_sold]]&lt;150,"Low",IF(Table1[[#This Row],[units_sold]]&lt;300,"Medium","High")))</f>
        <v>High</v>
      </c>
      <c r="M709" t="str">
        <f t="shared" si="23"/>
        <v>Normal</v>
      </c>
      <c r="N709">
        <f>(Table1[[#This Row],[price]]*0.7)</f>
        <v>890.59599999999989</v>
      </c>
    </row>
    <row r="710" spans="1:14" x14ac:dyDescent="0.35">
      <c r="A710" t="str">
        <f t="shared" si="22"/>
        <v>P709</v>
      </c>
      <c r="B710" t="s">
        <v>11</v>
      </c>
      <c r="C710" t="s">
        <v>9</v>
      </c>
      <c r="D710">
        <v>1372.21</v>
      </c>
      <c r="E710">
        <v>75</v>
      </c>
      <c r="F710">
        <v>4.0999999999999996</v>
      </c>
      <c r="G710" t="b">
        <v>1</v>
      </c>
      <c r="H710">
        <f>(Table1[[#This Row],[price]]*Table1[[#This Row],[units_sold]])</f>
        <v>102915.75</v>
      </c>
      <c r="I710" t="str">
        <f>IF(Table1[[#This Row],[in_stock]]=TRUE,"Available","Out of stock")</f>
        <v>Available</v>
      </c>
      <c r="J710" t="str">
        <f>IF(Table1[[#This Row],[rating]]&gt;=4,"High",IF(Table1[[#This Row],[rating]]&gt;=2.5,"Medium","Low"))</f>
        <v>High</v>
      </c>
      <c r="K710" t="str">
        <f>IF(Table1[[#This Row],[price]]&lt;200,"Budget",IF(Table1[[#This Row],[price]]&lt;600,"Mid-Range",IF(Table1[[#This Row],[price]]&lt;1000,"Premium","Luxury")))</f>
        <v>Luxury</v>
      </c>
      <c r="L710" t="str">
        <f>IF(Table1[[#This Row],[units_sold]]&lt;50,"Very Low",IF(Table1[[#This Row],[units_sold]]&lt;150,"Low",IF(Table1[[#This Row],[units_sold]]&lt;300,"Medium","High")))</f>
        <v>Low</v>
      </c>
      <c r="M710" t="str">
        <f t="shared" si="23"/>
        <v>Normal</v>
      </c>
      <c r="N710">
        <f>(Table1[[#This Row],[price]]*0.7)</f>
        <v>960.54699999999991</v>
      </c>
    </row>
    <row r="711" spans="1:14" x14ac:dyDescent="0.35">
      <c r="A711" t="str">
        <f t="shared" si="22"/>
        <v>P710</v>
      </c>
      <c r="B711" t="s">
        <v>17</v>
      </c>
      <c r="C711" t="s">
        <v>7</v>
      </c>
      <c r="D711">
        <v>1222.51</v>
      </c>
      <c r="E711">
        <v>441</v>
      </c>
      <c r="F711">
        <v>2.1</v>
      </c>
      <c r="G711" t="b">
        <v>1</v>
      </c>
      <c r="H711">
        <f>(Table1[[#This Row],[price]]*Table1[[#This Row],[units_sold]])</f>
        <v>539126.91</v>
      </c>
      <c r="I711" t="str">
        <f>IF(Table1[[#This Row],[in_stock]]=TRUE,"Available","Out of stock")</f>
        <v>Available</v>
      </c>
      <c r="J711" t="str">
        <f>IF(Table1[[#This Row],[rating]]&gt;=4,"High",IF(Table1[[#This Row],[rating]]&gt;=2.5,"Medium","Low"))</f>
        <v>Low</v>
      </c>
      <c r="K711" t="str">
        <f>IF(Table1[[#This Row],[price]]&lt;200,"Budget",IF(Table1[[#This Row],[price]]&lt;600,"Mid-Range",IF(Table1[[#This Row],[price]]&lt;1000,"Premium","Luxury")))</f>
        <v>Luxury</v>
      </c>
      <c r="L711" t="str">
        <f>IF(Table1[[#This Row],[units_sold]]&lt;50,"Very Low",IF(Table1[[#This Row],[units_sold]]&lt;150,"Low",IF(Table1[[#This Row],[units_sold]]&lt;300,"Medium","High")))</f>
        <v>High</v>
      </c>
      <c r="M711" t="str">
        <f t="shared" si="23"/>
        <v>Normal</v>
      </c>
      <c r="N711">
        <f>(Table1[[#This Row],[price]]*0.7)</f>
        <v>855.75699999999995</v>
      </c>
    </row>
    <row r="712" spans="1:14" x14ac:dyDescent="0.35">
      <c r="A712" t="str">
        <f t="shared" si="22"/>
        <v>P711</v>
      </c>
      <c r="B712" t="s">
        <v>8</v>
      </c>
      <c r="C712" t="s">
        <v>9</v>
      </c>
      <c r="D712">
        <v>172.29</v>
      </c>
      <c r="E712">
        <v>279</v>
      </c>
      <c r="F712">
        <v>2.7</v>
      </c>
      <c r="G712" t="b">
        <v>1</v>
      </c>
      <c r="H712">
        <f>(Table1[[#This Row],[price]]*Table1[[#This Row],[units_sold]])</f>
        <v>48068.909999999996</v>
      </c>
      <c r="I712" t="str">
        <f>IF(Table1[[#This Row],[in_stock]]=TRUE,"Available","Out of stock")</f>
        <v>Available</v>
      </c>
      <c r="J712" t="str">
        <f>IF(Table1[[#This Row],[rating]]&gt;=4,"High",IF(Table1[[#This Row],[rating]]&gt;=2.5,"Medium","Low"))</f>
        <v>Medium</v>
      </c>
      <c r="K712" t="str">
        <f>IF(Table1[[#This Row],[price]]&lt;200,"Budget",IF(Table1[[#This Row],[price]]&lt;600,"Mid-Range",IF(Table1[[#This Row],[price]]&lt;1000,"Premium","Luxury")))</f>
        <v>Budget</v>
      </c>
      <c r="L712" t="str">
        <f>IF(Table1[[#This Row],[units_sold]]&lt;50,"Very Low",IF(Table1[[#This Row],[units_sold]]&lt;150,"Low",IF(Table1[[#This Row],[units_sold]]&lt;300,"Medium","High")))</f>
        <v>Medium</v>
      </c>
      <c r="M712" t="str">
        <f t="shared" si="23"/>
        <v>Normal</v>
      </c>
      <c r="N712">
        <f>(Table1[[#This Row],[price]]*0.7)</f>
        <v>120.60299999999998</v>
      </c>
    </row>
    <row r="713" spans="1:14" x14ac:dyDescent="0.35">
      <c r="A713" t="str">
        <f t="shared" si="22"/>
        <v>P712</v>
      </c>
      <c r="B713" t="s">
        <v>15</v>
      </c>
      <c r="C713" t="s">
        <v>7</v>
      </c>
      <c r="D713">
        <v>232</v>
      </c>
      <c r="E713">
        <v>176</v>
      </c>
      <c r="F713">
        <v>3.7</v>
      </c>
      <c r="G713" t="b">
        <v>1</v>
      </c>
      <c r="H713">
        <f>(Table1[[#This Row],[price]]*Table1[[#This Row],[units_sold]])</f>
        <v>40832</v>
      </c>
      <c r="I713" t="str">
        <f>IF(Table1[[#This Row],[in_stock]]=TRUE,"Available","Out of stock")</f>
        <v>Available</v>
      </c>
      <c r="J713" t="str">
        <f>IF(Table1[[#This Row],[rating]]&gt;=4,"High",IF(Table1[[#This Row],[rating]]&gt;=2.5,"Medium","Low"))</f>
        <v>Medium</v>
      </c>
      <c r="K713" t="str">
        <f>IF(Table1[[#This Row],[price]]&lt;200,"Budget",IF(Table1[[#This Row],[price]]&lt;600,"Mid-Range",IF(Table1[[#This Row],[price]]&lt;1000,"Premium","Luxury")))</f>
        <v>Mid-Range</v>
      </c>
      <c r="L713" t="str">
        <f>IF(Table1[[#This Row],[units_sold]]&lt;50,"Very Low",IF(Table1[[#This Row],[units_sold]]&lt;150,"Low",IF(Table1[[#This Row],[units_sold]]&lt;300,"Medium","High")))</f>
        <v>Medium</v>
      </c>
      <c r="M713" t="str">
        <f t="shared" si="23"/>
        <v>Normal</v>
      </c>
      <c r="N713">
        <f>(Table1[[#This Row],[price]]*0.7)</f>
        <v>162.39999999999998</v>
      </c>
    </row>
    <row r="714" spans="1:14" x14ac:dyDescent="0.35">
      <c r="A714" t="str">
        <f t="shared" si="22"/>
        <v>P713</v>
      </c>
      <c r="B714" t="s">
        <v>16</v>
      </c>
      <c r="C714" t="s">
        <v>9</v>
      </c>
      <c r="D714">
        <v>794.67</v>
      </c>
      <c r="E714">
        <v>384</v>
      </c>
      <c r="F714">
        <v>2.2999999999999998</v>
      </c>
      <c r="G714" t="b">
        <v>0</v>
      </c>
      <c r="H714">
        <f>(Table1[[#This Row],[price]]*Table1[[#This Row],[units_sold]])</f>
        <v>305153.27999999997</v>
      </c>
      <c r="I714" t="str">
        <f>IF(Table1[[#This Row],[in_stock]]=TRUE,"Available","Out of stock")</f>
        <v>Out of stock</v>
      </c>
      <c r="J714" t="str">
        <f>IF(Table1[[#This Row],[rating]]&gt;=4,"High",IF(Table1[[#This Row],[rating]]&gt;=2.5,"Medium","Low"))</f>
        <v>Low</v>
      </c>
      <c r="K714" t="str">
        <f>IF(Table1[[#This Row],[price]]&lt;200,"Budget",IF(Table1[[#This Row],[price]]&lt;600,"Mid-Range",IF(Table1[[#This Row],[price]]&lt;1000,"Premium","Luxury")))</f>
        <v>Premium</v>
      </c>
      <c r="L714" t="str">
        <f>IF(Table1[[#This Row],[units_sold]]&lt;50,"Very Low",IF(Table1[[#This Row],[units_sold]]&lt;150,"Low",IF(Table1[[#This Row],[units_sold]]&lt;300,"Medium","High")))</f>
        <v>High</v>
      </c>
      <c r="M714" t="str">
        <f t="shared" si="23"/>
        <v>High Demand - Out of Stock</v>
      </c>
      <c r="N714">
        <f>(Table1[[#This Row],[price]]*0.7)</f>
        <v>556.26899999999989</v>
      </c>
    </row>
    <row r="715" spans="1:14" x14ac:dyDescent="0.35">
      <c r="A715" t="str">
        <f t="shared" si="22"/>
        <v>P714</v>
      </c>
      <c r="B715" t="s">
        <v>6</v>
      </c>
      <c r="C715" t="s">
        <v>7</v>
      </c>
      <c r="D715">
        <v>376.64</v>
      </c>
      <c r="E715">
        <v>150</v>
      </c>
      <c r="F715">
        <v>1.2</v>
      </c>
      <c r="G715" t="b">
        <v>1</v>
      </c>
      <c r="H715">
        <f>(Table1[[#This Row],[price]]*Table1[[#This Row],[units_sold]])</f>
        <v>56496</v>
      </c>
      <c r="I715" t="str">
        <f>IF(Table1[[#This Row],[in_stock]]=TRUE,"Available","Out of stock")</f>
        <v>Available</v>
      </c>
      <c r="J715" t="str">
        <f>IF(Table1[[#This Row],[rating]]&gt;=4,"High",IF(Table1[[#This Row],[rating]]&gt;=2.5,"Medium","Low"))</f>
        <v>Low</v>
      </c>
      <c r="K715" t="str">
        <f>IF(Table1[[#This Row],[price]]&lt;200,"Budget",IF(Table1[[#This Row],[price]]&lt;600,"Mid-Range",IF(Table1[[#This Row],[price]]&lt;1000,"Premium","Luxury")))</f>
        <v>Mid-Range</v>
      </c>
      <c r="L715" t="str">
        <f>IF(Table1[[#This Row],[units_sold]]&lt;50,"Very Low",IF(Table1[[#This Row],[units_sold]]&lt;150,"Low",IF(Table1[[#This Row],[units_sold]]&lt;300,"Medium","High")))</f>
        <v>Medium</v>
      </c>
      <c r="M715" t="str">
        <f t="shared" si="23"/>
        <v>Normal</v>
      </c>
      <c r="N715">
        <f>(Table1[[#This Row],[price]]*0.7)</f>
        <v>263.64799999999997</v>
      </c>
    </row>
    <row r="716" spans="1:14" x14ac:dyDescent="0.35">
      <c r="A716" t="str">
        <f t="shared" si="22"/>
        <v>P715</v>
      </c>
      <c r="B716" t="s">
        <v>14</v>
      </c>
      <c r="C716" t="s">
        <v>9</v>
      </c>
      <c r="D716">
        <v>720.28</v>
      </c>
      <c r="E716">
        <v>273</v>
      </c>
      <c r="F716">
        <v>2.5</v>
      </c>
      <c r="G716" t="b">
        <v>0</v>
      </c>
      <c r="H716">
        <f>(Table1[[#This Row],[price]]*Table1[[#This Row],[units_sold]])</f>
        <v>196636.44</v>
      </c>
      <c r="I716" t="str">
        <f>IF(Table1[[#This Row],[in_stock]]=TRUE,"Available","Out of stock")</f>
        <v>Out of stock</v>
      </c>
      <c r="J716" t="str">
        <f>IF(Table1[[#This Row],[rating]]&gt;=4,"High",IF(Table1[[#This Row],[rating]]&gt;=2.5,"Medium","Low"))</f>
        <v>Medium</v>
      </c>
      <c r="K716" t="str">
        <f>IF(Table1[[#This Row],[price]]&lt;200,"Budget",IF(Table1[[#This Row],[price]]&lt;600,"Mid-Range",IF(Table1[[#This Row],[price]]&lt;1000,"Premium","Luxury")))</f>
        <v>Premium</v>
      </c>
      <c r="L716" t="str">
        <f>IF(Table1[[#This Row],[units_sold]]&lt;50,"Very Low",IF(Table1[[#This Row],[units_sold]]&lt;150,"Low",IF(Table1[[#This Row],[units_sold]]&lt;300,"Medium","High")))</f>
        <v>Medium</v>
      </c>
      <c r="M716" t="str">
        <f t="shared" si="23"/>
        <v>Normal</v>
      </c>
      <c r="N716">
        <f>(Table1[[#This Row],[price]]*0.7)</f>
        <v>504.19599999999997</v>
      </c>
    </row>
    <row r="717" spans="1:14" x14ac:dyDescent="0.35">
      <c r="A717" t="str">
        <f t="shared" si="22"/>
        <v>P716</v>
      </c>
      <c r="B717" t="s">
        <v>10</v>
      </c>
      <c r="C717" t="s">
        <v>9</v>
      </c>
      <c r="D717">
        <v>597.6</v>
      </c>
      <c r="E717">
        <v>325</v>
      </c>
      <c r="F717">
        <v>4.8</v>
      </c>
      <c r="G717" t="b">
        <v>1</v>
      </c>
      <c r="H717">
        <f>(Table1[[#This Row],[price]]*Table1[[#This Row],[units_sold]])</f>
        <v>194220</v>
      </c>
      <c r="I717" t="str">
        <f>IF(Table1[[#This Row],[in_stock]]=TRUE,"Available","Out of stock")</f>
        <v>Available</v>
      </c>
      <c r="J717" t="str">
        <f>IF(Table1[[#This Row],[rating]]&gt;=4,"High",IF(Table1[[#This Row],[rating]]&gt;=2.5,"Medium","Low"))</f>
        <v>High</v>
      </c>
      <c r="K717" t="str">
        <f>IF(Table1[[#This Row],[price]]&lt;200,"Budget",IF(Table1[[#This Row],[price]]&lt;600,"Mid-Range",IF(Table1[[#This Row],[price]]&lt;1000,"Premium","Luxury")))</f>
        <v>Mid-Range</v>
      </c>
      <c r="L717" t="str">
        <f>IF(Table1[[#This Row],[units_sold]]&lt;50,"Very Low",IF(Table1[[#This Row],[units_sold]]&lt;150,"Low",IF(Table1[[#This Row],[units_sold]]&lt;300,"Medium","High")))</f>
        <v>High</v>
      </c>
      <c r="M717" t="str">
        <f t="shared" si="23"/>
        <v>Normal</v>
      </c>
      <c r="N717">
        <f>(Table1[[#This Row],[price]]*0.7)</f>
        <v>418.32</v>
      </c>
    </row>
    <row r="718" spans="1:14" x14ac:dyDescent="0.35">
      <c r="A718" t="str">
        <f t="shared" si="22"/>
        <v>P717</v>
      </c>
      <c r="B718" t="s">
        <v>13</v>
      </c>
      <c r="C718" t="s">
        <v>9</v>
      </c>
      <c r="D718">
        <v>828.63</v>
      </c>
      <c r="E718">
        <v>108</v>
      </c>
      <c r="F718">
        <v>3.6</v>
      </c>
      <c r="G718" t="b">
        <v>1</v>
      </c>
      <c r="H718">
        <f>(Table1[[#This Row],[price]]*Table1[[#This Row],[units_sold]])</f>
        <v>89492.04</v>
      </c>
      <c r="I718" t="str">
        <f>IF(Table1[[#This Row],[in_stock]]=TRUE,"Available","Out of stock")</f>
        <v>Available</v>
      </c>
      <c r="J718" t="str">
        <f>IF(Table1[[#This Row],[rating]]&gt;=4,"High",IF(Table1[[#This Row],[rating]]&gt;=2.5,"Medium","Low"))</f>
        <v>Medium</v>
      </c>
      <c r="K718" t="str">
        <f>IF(Table1[[#This Row],[price]]&lt;200,"Budget",IF(Table1[[#This Row],[price]]&lt;600,"Mid-Range",IF(Table1[[#This Row],[price]]&lt;1000,"Premium","Luxury")))</f>
        <v>Premium</v>
      </c>
      <c r="L718" t="str">
        <f>IF(Table1[[#This Row],[units_sold]]&lt;50,"Very Low",IF(Table1[[#This Row],[units_sold]]&lt;150,"Low",IF(Table1[[#This Row],[units_sold]]&lt;300,"Medium","High")))</f>
        <v>Low</v>
      </c>
      <c r="M718" t="str">
        <f t="shared" si="23"/>
        <v>Normal</v>
      </c>
      <c r="N718">
        <f>(Table1[[#This Row],[price]]*0.7)</f>
        <v>580.04099999999994</v>
      </c>
    </row>
    <row r="719" spans="1:14" x14ac:dyDescent="0.35">
      <c r="A719" t="str">
        <f t="shared" si="22"/>
        <v>P718</v>
      </c>
      <c r="B719" t="s">
        <v>16</v>
      </c>
      <c r="C719" t="s">
        <v>9</v>
      </c>
      <c r="D719">
        <v>1122.8399999999999</v>
      </c>
      <c r="E719">
        <v>139</v>
      </c>
      <c r="F719">
        <v>3.7</v>
      </c>
      <c r="G719" t="b">
        <v>1</v>
      </c>
      <c r="H719">
        <f>(Table1[[#This Row],[price]]*Table1[[#This Row],[units_sold]])</f>
        <v>156074.75999999998</v>
      </c>
      <c r="I719" t="str">
        <f>IF(Table1[[#This Row],[in_stock]]=TRUE,"Available","Out of stock")</f>
        <v>Available</v>
      </c>
      <c r="J719" t="str">
        <f>IF(Table1[[#This Row],[rating]]&gt;=4,"High",IF(Table1[[#This Row],[rating]]&gt;=2.5,"Medium","Low"))</f>
        <v>Medium</v>
      </c>
      <c r="K719" t="str">
        <f>IF(Table1[[#This Row],[price]]&lt;200,"Budget",IF(Table1[[#This Row],[price]]&lt;600,"Mid-Range",IF(Table1[[#This Row],[price]]&lt;1000,"Premium","Luxury")))</f>
        <v>Luxury</v>
      </c>
      <c r="L719" t="str">
        <f>IF(Table1[[#This Row],[units_sold]]&lt;50,"Very Low",IF(Table1[[#This Row],[units_sold]]&lt;150,"Low",IF(Table1[[#This Row],[units_sold]]&lt;300,"Medium","High")))</f>
        <v>Low</v>
      </c>
      <c r="M719" t="str">
        <f t="shared" si="23"/>
        <v>Normal</v>
      </c>
      <c r="N719">
        <f>(Table1[[#This Row],[price]]*0.7)</f>
        <v>785.98799999999994</v>
      </c>
    </row>
    <row r="720" spans="1:14" x14ac:dyDescent="0.35">
      <c r="A720" t="str">
        <f t="shared" si="22"/>
        <v>P719</v>
      </c>
      <c r="B720" t="s">
        <v>12</v>
      </c>
      <c r="C720" t="s">
        <v>7</v>
      </c>
      <c r="D720">
        <v>1076.08</v>
      </c>
      <c r="E720">
        <v>350</v>
      </c>
      <c r="F720">
        <v>3.5</v>
      </c>
      <c r="G720" t="b">
        <v>1</v>
      </c>
      <c r="H720">
        <f>(Table1[[#This Row],[price]]*Table1[[#This Row],[units_sold]])</f>
        <v>376628</v>
      </c>
      <c r="I720" t="str">
        <f>IF(Table1[[#This Row],[in_stock]]=TRUE,"Available","Out of stock")</f>
        <v>Available</v>
      </c>
      <c r="J720" t="str">
        <f>IF(Table1[[#This Row],[rating]]&gt;=4,"High",IF(Table1[[#This Row],[rating]]&gt;=2.5,"Medium","Low"))</f>
        <v>Medium</v>
      </c>
      <c r="K720" t="str">
        <f>IF(Table1[[#This Row],[price]]&lt;200,"Budget",IF(Table1[[#This Row],[price]]&lt;600,"Mid-Range",IF(Table1[[#This Row],[price]]&lt;1000,"Premium","Luxury")))</f>
        <v>Luxury</v>
      </c>
      <c r="L720" t="str">
        <f>IF(Table1[[#This Row],[units_sold]]&lt;50,"Very Low",IF(Table1[[#This Row],[units_sold]]&lt;150,"Low",IF(Table1[[#This Row],[units_sold]]&lt;300,"Medium","High")))</f>
        <v>High</v>
      </c>
      <c r="M720" t="str">
        <f t="shared" si="23"/>
        <v>Normal</v>
      </c>
      <c r="N720">
        <f>(Table1[[#This Row],[price]]*0.7)</f>
        <v>753.25599999999986</v>
      </c>
    </row>
    <row r="721" spans="1:14" x14ac:dyDescent="0.35">
      <c r="A721" t="str">
        <f t="shared" si="22"/>
        <v>P720</v>
      </c>
      <c r="B721" t="s">
        <v>17</v>
      </c>
      <c r="C721" t="s">
        <v>7</v>
      </c>
      <c r="D721">
        <v>786.64</v>
      </c>
      <c r="E721">
        <v>271</v>
      </c>
      <c r="F721">
        <v>1.8</v>
      </c>
      <c r="G721" t="b">
        <v>1</v>
      </c>
      <c r="H721">
        <f>(Table1[[#This Row],[price]]*Table1[[#This Row],[units_sold]])</f>
        <v>213179.44</v>
      </c>
      <c r="I721" t="str">
        <f>IF(Table1[[#This Row],[in_stock]]=TRUE,"Available","Out of stock")</f>
        <v>Available</v>
      </c>
      <c r="J721" t="str">
        <f>IF(Table1[[#This Row],[rating]]&gt;=4,"High",IF(Table1[[#This Row],[rating]]&gt;=2.5,"Medium","Low"))</f>
        <v>Low</v>
      </c>
      <c r="K721" t="str">
        <f>IF(Table1[[#This Row],[price]]&lt;200,"Budget",IF(Table1[[#This Row],[price]]&lt;600,"Mid-Range",IF(Table1[[#This Row],[price]]&lt;1000,"Premium","Luxury")))</f>
        <v>Premium</v>
      </c>
      <c r="L721" t="str">
        <f>IF(Table1[[#This Row],[units_sold]]&lt;50,"Very Low",IF(Table1[[#This Row],[units_sold]]&lt;150,"Low",IF(Table1[[#This Row],[units_sold]]&lt;300,"Medium","High")))</f>
        <v>Medium</v>
      </c>
      <c r="M721" t="str">
        <f t="shared" si="23"/>
        <v>Normal</v>
      </c>
      <c r="N721">
        <f>(Table1[[#This Row],[price]]*0.7)</f>
        <v>550.64799999999991</v>
      </c>
    </row>
    <row r="722" spans="1:14" x14ac:dyDescent="0.35">
      <c r="A722" t="str">
        <f t="shared" si="22"/>
        <v>P721</v>
      </c>
      <c r="B722" t="s">
        <v>10</v>
      </c>
      <c r="C722" t="s">
        <v>9</v>
      </c>
      <c r="D722">
        <v>1235.3699999999999</v>
      </c>
      <c r="E722">
        <v>347</v>
      </c>
      <c r="F722">
        <v>2.7</v>
      </c>
      <c r="G722" t="b">
        <v>1</v>
      </c>
      <c r="H722">
        <f>(Table1[[#This Row],[price]]*Table1[[#This Row],[units_sold]])</f>
        <v>428673.38999999996</v>
      </c>
      <c r="I722" t="str">
        <f>IF(Table1[[#This Row],[in_stock]]=TRUE,"Available","Out of stock")</f>
        <v>Available</v>
      </c>
      <c r="J722" t="str">
        <f>IF(Table1[[#This Row],[rating]]&gt;=4,"High",IF(Table1[[#This Row],[rating]]&gt;=2.5,"Medium","Low"))</f>
        <v>Medium</v>
      </c>
      <c r="K722" t="str">
        <f>IF(Table1[[#This Row],[price]]&lt;200,"Budget",IF(Table1[[#This Row],[price]]&lt;600,"Mid-Range",IF(Table1[[#This Row],[price]]&lt;1000,"Premium","Luxury")))</f>
        <v>Luxury</v>
      </c>
      <c r="L722" t="str">
        <f>IF(Table1[[#This Row],[units_sold]]&lt;50,"Very Low",IF(Table1[[#This Row],[units_sold]]&lt;150,"Low",IF(Table1[[#This Row],[units_sold]]&lt;300,"Medium","High")))</f>
        <v>High</v>
      </c>
      <c r="M722" t="str">
        <f t="shared" si="23"/>
        <v>Normal</v>
      </c>
      <c r="N722">
        <f>(Table1[[#This Row],[price]]*0.7)</f>
        <v>864.7589999999999</v>
      </c>
    </row>
    <row r="723" spans="1:14" x14ac:dyDescent="0.35">
      <c r="A723" t="str">
        <f t="shared" si="22"/>
        <v>P722</v>
      </c>
      <c r="B723" t="s">
        <v>6</v>
      </c>
      <c r="C723" t="s">
        <v>7</v>
      </c>
      <c r="D723">
        <v>651.98</v>
      </c>
      <c r="E723">
        <v>419</v>
      </c>
      <c r="F723">
        <v>4</v>
      </c>
      <c r="G723" t="b">
        <v>1</v>
      </c>
      <c r="H723">
        <f>(Table1[[#This Row],[price]]*Table1[[#This Row],[units_sold]])</f>
        <v>273179.62</v>
      </c>
      <c r="I723" t="str">
        <f>IF(Table1[[#This Row],[in_stock]]=TRUE,"Available","Out of stock")</f>
        <v>Available</v>
      </c>
      <c r="J723" t="str">
        <f>IF(Table1[[#This Row],[rating]]&gt;=4,"High",IF(Table1[[#This Row],[rating]]&gt;=2.5,"Medium","Low"))</f>
        <v>High</v>
      </c>
      <c r="K723" t="str">
        <f>IF(Table1[[#This Row],[price]]&lt;200,"Budget",IF(Table1[[#This Row],[price]]&lt;600,"Mid-Range",IF(Table1[[#This Row],[price]]&lt;1000,"Premium","Luxury")))</f>
        <v>Premium</v>
      </c>
      <c r="L723" t="str">
        <f>IF(Table1[[#This Row],[units_sold]]&lt;50,"Very Low",IF(Table1[[#This Row],[units_sold]]&lt;150,"Low",IF(Table1[[#This Row],[units_sold]]&lt;300,"Medium","High")))</f>
        <v>High</v>
      </c>
      <c r="M723" t="str">
        <f t="shared" si="23"/>
        <v>Normal</v>
      </c>
      <c r="N723">
        <f>(Table1[[#This Row],[price]]*0.7)</f>
        <v>456.38599999999997</v>
      </c>
    </row>
    <row r="724" spans="1:14" x14ac:dyDescent="0.35">
      <c r="A724" t="str">
        <f t="shared" si="22"/>
        <v>P723</v>
      </c>
      <c r="B724" t="s">
        <v>16</v>
      </c>
      <c r="C724" t="s">
        <v>9</v>
      </c>
      <c r="D724">
        <v>1346.1</v>
      </c>
      <c r="E724">
        <v>289</v>
      </c>
      <c r="F724">
        <v>1.4</v>
      </c>
      <c r="G724" t="b">
        <v>0</v>
      </c>
      <c r="H724">
        <f>(Table1[[#This Row],[price]]*Table1[[#This Row],[units_sold]])</f>
        <v>389022.89999999997</v>
      </c>
      <c r="I724" t="str">
        <f>IF(Table1[[#This Row],[in_stock]]=TRUE,"Available","Out of stock")</f>
        <v>Out of stock</v>
      </c>
      <c r="J724" t="str">
        <f>IF(Table1[[#This Row],[rating]]&gt;=4,"High",IF(Table1[[#This Row],[rating]]&gt;=2.5,"Medium","Low"))</f>
        <v>Low</v>
      </c>
      <c r="K724" t="str">
        <f>IF(Table1[[#This Row],[price]]&lt;200,"Budget",IF(Table1[[#This Row],[price]]&lt;600,"Mid-Range",IF(Table1[[#This Row],[price]]&lt;1000,"Premium","Luxury")))</f>
        <v>Luxury</v>
      </c>
      <c r="L724" t="str">
        <f>IF(Table1[[#This Row],[units_sold]]&lt;50,"Very Low",IF(Table1[[#This Row],[units_sold]]&lt;150,"Low",IF(Table1[[#This Row],[units_sold]]&lt;300,"Medium","High")))</f>
        <v>Medium</v>
      </c>
      <c r="M724" t="str">
        <f t="shared" si="23"/>
        <v>Normal</v>
      </c>
      <c r="N724">
        <f>(Table1[[#This Row],[price]]*0.7)</f>
        <v>942.26999999999987</v>
      </c>
    </row>
    <row r="725" spans="1:14" x14ac:dyDescent="0.35">
      <c r="A725" t="str">
        <f t="shared" si="22"/>
        <v>P724</v>
      </c>
      <c r="B725" t="s">
        <v>10</v>
      </c>
      <c r="C725" t="s">
        <v>9</v>
      </c>
      <c r="D725">
        <v>116.21</v>
      </c>
      <c r="E725">
        <v>212</v>
      </c>
      <c r="F725">
        <v>2.1</v>
      </c>
      <c r="G725" t="b">
        <v>1</v>
      </c>
      <c r="H725">
        <f>(Table1[[#This Row],[price]]*Table1[[#This Row],[units_sold]])</f>
        <v>24636.52</v>
      </c>
      <c r="I725" t="str">
        <f>IF(Table1[[#This Row],[in_stock]]=TRUE,"Available","Out of stock")</f>
        <v>Available</v>
      </c>
      <c r="J725" t="str">
        <f>IF(Table1[[#This Row],[rating]]&gt;=4,"High",IF(Table1[[#This Row],[rating]]&gt;=2.5,"Medium","Low"))</f>
        <v>Low</v>
      </c>
      <c r="K725" t="str">
        <f>IF(Table1[[#This Row],[price]]&lt;200,"Budget",IF(Table1[[#This Row],[price]]&lt;600,"Mid-Range",IF(Table1[[#This Row],[price]]&lt;1000,"Premium","Luxury")))</f>
        <v>Budget</v>
      </c>
      <c r="L725" t="str">
        <f>IF(Table1[[#This Row],[units_sold]]&lt;50,"Very Low",IF(Table1[[#This Row],[units_sold]]&lt;150,"Low",IF(Table1[[#This Row],[units_sold]]&lt;300,"Medium","High")))</f>
        <v>Medium</v>
      </c>
      <c r="M725" t="str">
        <f t="shared" si="23"/>
        <v>Normal</v>
      </c>
      <c r="N725">
        <f>(Table1[[#This Row],[price]]*0.7)</f>
        <v>81.346999999999994</v>
      </c>
    </row>
    <row r="726" spans="1:14" x14ac:dyDescent="0.35">
      <c r="A726" t="str">
        <f t="shared" si="22"/>
        <v>P725</v>
      </c>
      <c r="B726" t="s">
        <v>16</v>
      </c>
      <c r="C726" t="s">
        <v>9</v>
      </c>
      <c r="D726">
        <v>1432.44</v>
      </c>
      <c r="E726">
        <v>381</v>
      </c>
      <c r="F726">
        <v>2.1</v>
      </c>
      <c r="G726" t="b">
        <v>0</v>
      </c>
      <c r="H726">
        <f>(Table1[[#This Row],[price]]*Table1[[#This Row],[units_sold]])</f>
        <v>545759.64</v>
      </c>
      <c r="I726" t="str">
        <f>IF(Table1[[#This Row],[in_stock]]=TRUE,"Available","Out of stock")</f>
        <v>Out of stock</v>
      </c>
      <c r="J726" t="str">
        <f>IF(Table1[[#This Row],[rating]]&gt;=4,"High",IF(Table1[[#This Row],[rating]]&gt;=2.5,"Medium","Low"))</f>
        <v>Low</v>
      </c>
      <c r="K726" t="str">
        <f>IF(Table1[[#This Row],[price]]&lt;200,"Budget",IF(Table1[[#This Row],[price]]&lt;600,"Mid-Range",IF(Table1[[#This Row],[price]]&lt;1000,"Premium","Luxury")))</f>
        <v>Luxury</v>
      </c>
      <c r="L726" t="str">
        <f>IF(Table1[[#This Row],[units_sold]]&lt;50,"Very Low",IF(Table1[[#This Row],[units_sold]]&lt;150,"Low",IF(Table1[[#This Row],[units_sold]]&lt;300,"Medium","High")))</f>
        <v>High</v>
      </c>
      <c r="M726" t="str">
        <f t="shared" si="23"/>
        <v>High Demand - Out of Stock</v>
      </c>
      <c r="N726">
        <f>(Table1[[#This Row],[price]]*0.7)</f>
        <v>1002.708</v>
      </c>
    </row>
    <row r="727" spans="1:14" x14ac:dyDescent="0.35">
      <c r="A727" t="str">
        <f t="shared" si="22"/>
        <v>P726</v>
      </c>
      <c r="B727" t="s">
        <v>17</v>
      </c>
      <c r="C727" t="s">
        <v>7</v>
      </c>
      <c r="D727">
        <v>985.49</v>
      </c>
      <c r="E727">
        <v>272</v>
      </c>
      <c r="F727">
        <v>2.7</v>
      </c>
      <c r="G727" t="b">
        <v>0</v>
      </c>
      <c r="H727">
        <f>(Table1[[#This Row],[price]]*Table1[[#This Row],[units_sold]])</f>
        <v>268053.28000000003</v>
      </c>
      <c r="I727" t="str">
        <f>IF(Table1[[#This Row],[in_stock]]=TRUE,"Available","Out of stock")</f>
        <v>Out of stock</v>
      </c>
      <c r="J727" t="str">
        <f>IF(Table1[[#This Row],[rating]]&gt;=4,"High",IF(Table1[[#This Row],[rating]]&gt;=2.5,"Medium","Low"))</f>
        <v>Medium</v>
      </c>
      <c r="K727" t="str">
        <f>IF(Table1[[#This Row],[price]]&lt;200,"Budget",IF(Table1[[#This Row],[price]]&lt;600,"Mid-Range",IF(Table1[[#This Row],[price]]&lt;1000,"Premium","Luxury")))</f>
        <v>Premium</v>
      </c>
      <c r="L727" t="str">
        <f>IF(Table1[[#This Row],[units_sold]]&lt;50,"Very Low",IF(Table1[[#This Row],[units_sold]]&lt;150,"Low",IF(Table1[[#This Row],[units_sold]]&lt;300,"Medium","High")))</f>
        <v>Medium</v>
      </c>
      <c r="M727" t="str">
        <f t="shared" si="23"/>
        <v>Normal</v>
      </c>
      <c r="N727">
        <f>(Table1[[#This Row],[price]]*0.7)</f>
        <v>689.84299999999996</v>
      </c>
    </row>
    <row r="728" spans="1:14" x14ac:dyDescent="0.35">
      <c r="A728" t="str">
        <f t="shared" si="22"/>
        <v>P727</v>
      </c>
      <c r="B728" t="s">
        <v>6</v>
      </c>
      <c r="C728" t="s">
        <v>7</v>
      </c>
      <c r="D728">
        <v>576.30999999999995</v>
      </c>
      <c r="E728">
        <v>418</v>
      </c>
      <c r="F728">
        <v>4.9000000000000004</v>
      </c>
      <c r="G728" t="b">
        <v>1</v>
      </c>
      <c r="H728">
        <f>(Table1[[#This Row],[price]]*Table1[[#This Row],[units_sold]])</f>
        <v>240897.58</v>
      </c>
      <c r="I728" t="str">
        <f>IF(Table1[[#This Row],[in_stock]]=TRUE,"Available","Out of stock")</f>
        <v>Available</v>
      </c>
      <c r="J728" t="str">
        <f>IF(Table1[[#This Row],[rating]]&gt;=4,"High",IF(Table1[[#This Row],[rating]]&gt;=2.5,"Medium","Low"))</f>
        <v>High</v>
      </c>
      <c r="K728" t="str">
        <f>IF(Table1[[#This Row],[price]]&lt;200,"Budget",IF(Table1[[#This Row],[price]]&lt;600,"Mid-Range",IF(Table1[[#This Row],[price]]&lt;1000,"Premium","Luxury")))</f>
        <v>Mid-Range</v>
      </c>
      <c r="L728" t="str">
        <f>IF(Table1[[#This Row],[units_sold]]&lt;50,"Very Low",IF(Table1[[#This Row],[units_sold]]&lt;150,"Low",IF(Table1[[#This Row],[units_sold]]&lt;300,"Medium","High")))</f>
        <v>High</v>
      </c>
      <c r="M728" t="str">
        <f t="shared" si="23"/>
        <v>Normal</v>
      </c>
      <c r="N728">
        <f>(Table1[[#This Row],[price]]*0.7)</f>
        <v>403.41699999999992</v>
      </c>
    </row>
    <row r="729" spans="1:14" x14ac:dyDescent="0.35">
      <c r="A729" t="str">
        <f t="shared" si="22"/>
        <v>P728</v>
      </c>
      <c r="B729" t="s">
        <v>12</v>
      </c>
      <c r="C729" t="s">
        <v>7</v>
      </c>
      <c r="D729">
        <v>303.76</v>
      </c>
      <c r="E729">
        <v>66</v>
      </c>
      <c r="F729">
        <v>1.3</v>
      </c>
      <c r="G729" t="b">
        <v>1</v>
      </c>
      <c r="H729">
        <f>(Table1[[#This Row],[price]]*Table1[[#This Row],[units_sold]])</f>
        <v>20048.16</v>
      </c>
      <c r="I729" t="str">
        <f>IF(Table1[[#This Row],[in_stock]]=TRUE,"Available","Out of stock")</f>
        <v>Available</v>
      </c>
      <c r="J729" t="str">
        <f>IF(Table1[[#This Row],[rating]]&gt;=4,"High",IF(Table1[[#This Row],[rating]]&gt;=2.5,"Medium","Low"))</f>
        <v>Low</v>
      </c>
      <c r="K729" t="str">
        <f>IF(Table1[[#This Row],[price]]&lt;200,"Budget",IF(Table1[[#This Row],[price]]&lt;600,"Mid-Range",IF(Table1[[#This Row],[price]]&lt;1000,"Premium","Luxury")))</f>
        <v>Mid-Range</v>
      </c>
      <c r="L729" t="str">
        <f>IF(Table1[[#This Row],[units_sold]]&lt;50,"Very Low",IF(Table1[[#This Row],[units_sold]]&lt;150,"Low",IF(Table1[[#This Row],[units_sold]]&lt;300,"Medium","High")))</f>
        <v>Low</v>
      </c>
      <c r="M729" t="str">
        <f t="shared" si="23"/>
        <v>Normal</v>
      </c>
      <c r="N729">
        <f>(Table1[[#This Row],[price]]*0.7)</f>
        <v>212.63199999999998</v>
      </c>
    </row>
    <row r="730" spans="1:14" x14ac:dyDescent="0.35">
      <c r="A730" t="str">
        <f t="shared" si="22"/>
        <v>P729</v>
      </c>
      <c r="B730" t="s">
        <v>11</v>
      </c>
      <c r="C730" t="s">
        <v>9</v>
      </c>
      <c r="D730">
        <v>723.98</v>
      </c>
      <c r="E730">
        <v>483</v>
      </c>
      <c r="F730">
        <v>3.1</v>
      </c>
      <c r="G730" t="b">
        <v>1</v>
      </c>
      <c r="H730">
        <f>(Table1[[#This Row],[price]]*Table1[[#This Row],[units_sold]])</f>
        <v>349682.34</v>
      </c>
      <c r="I730" t="str">
        <f>IF(Table1[[#This Row],[in_stock]]=TRUE,"Available","Out of stock")</f>
        <v>Available</v>
      </c>
      <c r="J730" t="str">
        <f>IF(Table1[[#This Row],[rating]]&gt;=4,"High",IF(Table1[[#This Row],[rating]]&gt;=2.5,"Medium","Low"))</f>
        <v>Medium</v>
      </c>
      <c r="K730" t="str">
        <f>IF(Table1[[#This Row],[price]]&lt;200,"Budget",IF(Table1[[#This Row],[price]]&lt;600,"Mid-Range",IF(Table1[[#This Row],[price]]&lt;1000,"Premium","Luxury")))</f>
        <v>Premium</v>
      </c>
      <c r="L730" t="str">
        <f>IF(Table1[[#This Row],[units_sold]]&lt;50,"Very Low",IF(Table1[[#This Row],[units_sold]]&lt;150,"Low",IF(Table1[[#This Row],[units_sold]]&lt;300,"Medium","High")))</f>
        <v>High</v>
      </c>
      <c r="M730" t="str">
        <f t="shared" si="23"/>
        <v>Normal</v>
      </c>
      <c r="N730">
        <f>(Table1[[#This Row],[price]]*0.7)</f>
        <v>506.786</v>
      </c>
    </row>
    <row r="731" spans="1:14" x14ac:dyDescent="0.35">
      <c r="A731" t="str">
        <f t="shared" si="22"/>
        <v>P730</v>
      </c>
      <c r="B731" t="s">
        <v>15</v>
      </c>
      <c r="C731" t="s">
        <v>7</v>
      </c>
      <c r="D731">
        <v>299.89</v>
      </c>
      <c r="E731">
        <v>424</v>
      </c>
      <c r="F731">
        <v>1.7</v>
      </c>
      <c r="G731" t="b">
        <v>0</v>
      </c>
      <c r="H731">
        <f>(Table1[[#This Row],[price]]*Table1[[#This Row],[units_sold]])</f>
        <v>127153.36</v>
      </c>
      <c r="I731" t="str">
        <f>IF(Table1[[#This Row],[in_stock]]=TRUE,"Available","Out of stock")</f>
        <v>Out of stock</v>
      </c>
      <c r="J731" t="str">
        <f>IF(Table1[[#This Row],[rating]]&gt;=4,"High",IF(Table1[[#This Row],[rating]]&gt;=2.5,"Medium","Low"))</f>
        <v>Low</v>
      </c>
      <c r="K731" t="str">
        <f>IF(Table1[[#This Row],[price]]&lt;200,"Budget",IF(Table1[[#This Row],[price]]&lt;600,"Mid-Range",IF(Table1[[#This Row],[price]]&lt;1000,"Premium","Luxury")))</f>
        <v>Mid-Range</v>
      </c>
      <c r="L731" t="str">
        <f>IF(Table1[[#This Row],[units_sold]]&lt;50,"Very Low",IF(Table1[[#This Row],[units_sold]]&lt;150,"Low",IF(Table1[[#This Row],[units_sold]]&lt;300,"Medium","High")))</f>
        <v>High</v>
      </c>
      <c r="M731" t="str">
        <f t="shared" si="23"/>
        <v>High Demand - Out of Stock</v>
      </c>
      <c r="N731">
        <f>(Table1[[#This Row],[price]]*0.7)</f>
        <v>209.92299999999997</v>
      </c>
    </row>
    <row r="732" spans="1:14" x14ac:dyDescent="0.35">
      <c r="A732" t="str">
        <f t="shared" si="22"/>
        <v>P731</v>
      </c>
      <c r="B732" t="s">
        <v>12</v>
      </c>
      <c r="C732" t="s">
        <v>7</v>
      </c>
      <c r="D732">
        <v>257.83</v>
      </c>
      <c r="E732">
        <v>248</v>
      </c>
      <c r="F732">
        <v>4.9000000000000004</v>
      </c>
      <c r="G732" t="b">
        <v>1</v>
      </c>
      <c r="H732">
        <f>(Table1[[#This Row],[price]]*Table1[[#This Row],[units_sold]])</f>
        <v>63941.84</v>
      </c>
      <c r="I732" t="str">
        <f>IF(Table1[[#This Row],[in_stock]]=TRUE,"Available","Out of stock")</f>
        <v>Available</v>
      </c>
      <c r="J732" t="str">
        <f>IF(Table1[[#This Row],[rating]]&gt;=4,"High",IF(Table1[[#This Row],[rating]]&gt;=2.5,"Medium","Low"))</f>
        <v>High</v>
      </c>
      <c r="K732" t="str">
        <f>IF(Table1[[#This Row],[price]]&lt;200,"Budget",IF(Table1[[#This Row],[price]]&lt;600,"Mid-Range",IF(Table1[[#This Row],[price]]&lt;1000,"Premium","Luxury")))</f>
        <v>Mid-Range</v>
      </c>
      <c r="L732" t="str">
        <f>IF(Table1[[#This Row],[units_sold]]&lt;50,"Very Low",IF(Table1[[#This Row],[units_sold]]&lt;150,"Low",IF(Table1[[#This Row],[units_sold]]&lt;300,"Medium","High")))</f>
        <v>Medium</v>
      </c>
      <c r="M732" t="str">
        <f t="shared" si="23"/>
        <v>Normal</v>
      </c>
      <c r="N732">
        <f>(Table1[[#This Row],[price]]*0.7)</f>
        <v>180.48099999999997</v>
      </c>
    </row>
    <row r="733" spans="1:14" x14ac:dyDescent="0.35">
      <c r="A733" t="str">
        <f t="shared" si="22"/>
        <v>P732</v>
      </c>
      <c r="B733" t="s">
        <v>11</v>
      </c>
      <c r="C733" t="s">
        <v>9</v>
      </c>
      <c r="D733">
        <v>929.85</v>
      </c>
      <c r="E733">
        <v>156</v>
      </c>
      <c r="F733">
        <v>1.5</v>
      </c>
      <c r="G733" t="b">
        <v>1</v>
      </c>
      <c r="H733">
        <f>(Table1[[#This Row],[price]]*Table1[[#This Row],[units_sold]])</f>
        <v>145056.6</v>
      </c>
      <c r="I733" t="str">
        <f>IF(Table1[[#This Row],[in_stock]]=TRUE,"Available","Out of stock")</f>
        <v>Available</v>
      </c>
      <c r="J733" t="str">
        <f>IF(Table1[[#This Row],[rating]]&gt;=4,"High",IF(Table1[[#This Row],[rating]]&gt;=2.5,"Medium","Low"))</f>
        <v>Low</v>
      </c>
      <c r="K733" t="str">
        <f>IF(Table1[[#This Row],[price]]&lt;200,"Budget",IF(Table1[[#This Row],[price]]&lt;600,"Mid-Range",IF(Table1[[#This Row],[price]]&lt;1000,"Premium","Luxury")))</f>
        <v>Premium</v>
      </c>
      <c r="L733" t="str">
        <f>IF(Table1[[#This Row],[units_sold]]&lt;50,"Very Low",IF(Table1[[#This Row],[units_sold]]&lt;150,"Low",IF(Table1[[#This Row],[units_sold]]&lt;300,"Medium","High")))</f>
        <v>Medium</v>
      </c>
      <c r="M733" t="str">
        <f t="shared" si="23"/>
        <v>Normal</v>
      </c>
      <c r="N733">
        <f>(Table1[[#This Row],[price]]*0.7)</f>
        <v>650.89499999999998</v>
      </c>
    </row>
    <row r="734" spans="1:14" x14ac:dyDescent="0.35">
      <c r="A734" t="str">
        <f t="shared" si="22"/>
        <v>P733</v>
      </c>
      <c r="B734" t="s">
        <v>13</v>
      </c>
      <c r="C734" t="s">
        <v>9</v>
      </c>
      <c r="D734">
        <v>789.4</v>
      </c>
      <c r="E734">
        <v>47</v>
      </c>
      <c r="F734">
        <v>2.6</v>
      </c>
      <c r="G734" t="b">
        <v>1</v>
      </c>
      <c r="H734">
        <f>(Table1[[#This Row],[price]]*Table1[[#This Row],[units_sold]])</f>
        <v>37101.799999999996</v>
      </c>
      <c r="I734" t="str">
        <f>IF(Table1[[#This Row],[in_stock]]=TRUE,"Available","Out of stock")</f>
        <v>Available</v>
      </c>
      <c r="J734" t="str">
        <f>IF(Table1[[#This Row],[rating]]&gt;=4,"High",IF(Table1[[#This Row],[rating]]&gt;=2.5,"Medium","Low"))</f>
        <v>Medium</v>
      </c>
      <c r="K734" t="str">
        <f>IF(Table1[[#This Row],[price]]&lt;200,"Budget",IF(Table1[[#This Row],[price]]&lt;600,"Mid-Range",IF(Table1[[#This Row],[price]]&lt;1000,"Premium","Luxury")))</f>
        <v>Premium</v>
      </c>
      <c r="L734" t="str">
        <f>IF(Table1[[#This Row],[units_sold]]&lt;50,"Very Low",IF(Table1[[#This Row],[units_sold]]&lt;150,"Low",IF(Table1[[#This Row],[units_sold]]&lt;300,"Medium","High")))</f>
        <v>Very Low</v>
      </c>
      <c r="M734" t="str">
        <f t="shared" si="23"/>
        <v>Normal</v>
      </c>
      <c r="N734">
        <f>(Table1[[#This Row],[price]]*0.7)</f>
        <v>552.57999999999993</v>
      </c>
    </row>
    <row r="735" spans="1:14" x14ac:dyDescent="0.35">
      <c r="A735" t="str">
        <f t="shared" si="22"/>
        <v>P734</v>
      </c>
      <c r="B735" t="s">
        <v>8</v>
      </c>
      <c r="C735" t="s">
        <v>9</v>
      </c>
      <c r="D735">
        <v>1008.44</v>
      </c>
      <c r="E735">
        <v>423</v>
      </c>
      <c r="F735">
        <v>4</v>
      </c>
      <c r="G735" t="b">
        <v>1</v>
      </c>
      <c r="H735">
        <f>(Table1[[#This Row],[price]]*Table1[[#This Row],[units_sold]])</f>
        <v>426570.12</v>
      </c>
      <c r="I735" t="str">
        <f>IF(Table1[[#This Row],[in_stock]]=TRUE,"Available","Out of stock")</f>
        <v>Available</v>
      </c>
      <c r="J735" t="str">
        <f>IF(Table1[[#This Row],[rating]]&gt;=4,"High",IF(Table1[[#This Row],[rating]]&gt;=2.5,"Medium","Low"))</f>
        <v>High</v>
      </c>
      <c r="K735" t="str">
        <f>IF(Table1[[#This Row],[price]]&lt;200,"Budget",IF(Table1[[#This Row],[price]]&lt;600,"Mid-Range",IF(Table1[[#This Row],[price]]&lt;1000,"Premium","Luxury")))</f>
        <v>Luxury</v>
      </c>
      <c r="L735" t="str">
        <f>IF(Table1[[#This Row],[units_sold]]&lt;50,"Very Low",IF(Table1[[#This Row],[units_sold]]&lt;150,"Low",IF(Table1[[#This Row],[units_sold]]&lt;300,"Medium","High")))</f>
        <v>High</v>
      </c>
      <c r="M735" t="str">
        <f t="shared" si="23"/>
        <v>Normal</v>
      </c>
      <c r="N735">
        <f>(Table1[[#This Row],[price]]*0.7)</f>
        <v>705.90800000000002</v>
      </c>
    </row>
    <row r="736" spans="1:14" x14ac:dyDescent="0.35">
      <c r="A736" t="str">
        <f t="shared" si="22"/>
        <v>P735</v>
      </c>
      <c r="B736" t="s">
        <v>14</v>
      </c>
      <c r="C736" t="s">
        <v>9</v>
      </c>
      <c r="D736">
        <v>1395.11</v>
      </c>
      <c r="E736">
        <v>454</v>
      </c>
      <c r="F736">
        <v>3.8</v>
      </c>
      <c r="G736" t="b">
        <v>1</v>
      </c>
      <c r="H736">
        <f>(Table1[[#This Row],[price]]*Table1[[#This Row],[units_sold]])</f>
        <v>633379.93999999994</v>
      </c>
      <c r="I736" t="str">
        <f>IF(Table1[[#This Row],[in_stock]]=TRUE,"Available","Out of stock")</f>
        <v>Available</v>
      </c>
      <c r="J736" t="str">
        <f>IF(Table1[[#This Row],[rating]]&gt;=4,"High",IF(Table1[[#This Row],[rating]]&gt;=2.5,"Medium","Low"))</f>
        <v>Medium</v>
      </c>
      <c r="K736" t="str">
        <f>IF(Table1[[#This Row],[price]]&lt;200,"Budget",IF(Table1[[#This Row],[price]]&lt;600,"Mid-Range",IF(Table1[[#This Row],[price]]&lt;1000,"Premium","Luxury")))</f>
        <v>Luxury</v>
      </c>
      <c r="L736" t="str">
        <f>IF(Table1[[#This Row],[units_sold]]&lt;50,"Very Low",IF(Table1[[#This Row],[units_sold]]&lt;150,"Low",IF(Table1[[#This Row],[units_sold]]&lt;300,"Medium","High")))</f>
        <v>High</v>
      </c>
      <c r="M736" t="str">
        <f t="shared" si="23"/>
        <v>Normal</v>
      </c>
      <c r="N736">
        <f>(Table1[[#This Row],[price]]*0.7)</f>
        <v>976.57699999999988</v>
      </c>
    </row>
    <row r="737" spans="1:14" x14ac:dyDescent="0.35">
      <c r="A737" t="str">
        <f t="shared" si="22"/>
        <v>P736</v>
      </c>
      <c r="B737" t="s">
        <v>14</v>
      </c>
      <c r="C737" t="s">
        <v>9</v>
      </c>
      <c r="D737">
        <v>803.07</v>
      </c>
      <c r="E737">
        <v>201</v>
      </c>
      <c r="F737">
        <v>2.7</v>
      </c>
      <c r="G737" t="b">
        <v>1</v>
      </c>
      <c r="H737">
        <f>(Table1[[#This Row],[price]]*Table1[[#This Row],[units_sold]])</f>
        <v>161417.07</v>
      </c>
      <c r="I737" t="str">
        <f>IF(Table1[[#This Row],[in_stock]]=TRUE,"Available","Out of stock")</f>
        <v>Available</v>
      </c>
      <c r="J737" t="str">
        <f>IF(Table1[[#This Row],[rating]]&gt;=4,"High",IF(Table1[[#This Row],[rating]]&gt;=2.5,"Medium","Low"))</f>
        <v>Medium</v>
      </c>
      <c r="K737" t="str">
        <f>IF(Table1[[#This Row],[price]]&lt;200,"Budget",IF(Table1[[#This Row],[price]]&lt;600,"Mid-Range",IF(Table1[[#This Row],[price]]&lt;1000,"Premium","Luxury")))</f>
        <v>Premium</v>
      </c>
      <c r="L737" t="str">
        <f>IF(Table1[[#This Row],[units_sold]]&lt;50,"Very Low",IF(Table1[[#This Row],[units_sold]]&lt;150,"Low",IF(Table1[[#This Row],[units_sold]]&lt;300,"Medium","High")))</f>
        <v>Medium</v>
      </c>
      <c r="M737" t="str">
        <f t="shared" si="23"/>
        <v>Normal</v>
      </c>
      <c r="N737">
        <f>(Table1[[#This Row],[price]]*0.7)</f>
        <v>562.149</v>
      </c>
    </row>
    <row r="738" spans="1:14" x14ac:dyDescent="0.35">
      <c r="A738" t="str">
        <f t="shared" si="22"/>
        <v>P737</v>
      </c>
      <c r="B738" t="s">
        <v>15</v>
      </c>
      <c r="C738" t="s">
        <v>7</v>
      </c>
      <c r="D738">
        <v>875.59</v>
      </c>
      <c r="E738">
        <v>148</v>
      </c>
      <c r="F738">
        <v>2.4</v>
      </c>
      <c r="G738" t="b">
        <v>1</v>
      </c>
      <c r="H738">
        <f>(Table1[[#This Row],[price]]*Table1[[#This Row],[units_sold]])</f>
        <v>129587.32</v>
      </c>
      <c r="I738" t="str">
        <f>IF(Table1[[#This Row],[in_stock]]=TRUE,"Available","Out of stock")</f>
        <v>Available</v>
      </c>
      <c r="J738" t="str">
        <f>IF(Table1[[#This Row],[rating]]&gt;=4,"High",IF(Table1[[#This Row],[rating]]&gt;=2.5,"Medium","Low"))</f>
        <v>Low</v>
      </c>
      <c r="K738" t="str">
        <f>IF(Table1[[#This Row],[price]]&lt;200,"Budget",IF(Table1[[#This Row],[price]]&lt;600,"Mid-Range",IF(Table1[[#This Row],[price]]&lt;1000,"Premium","Luxury")))</f>
        <v>Premium</v>
      </c>
      <c r="L738" t="str">
        <f>IF(Table1[[#This Row],[units_sold]]&lt;50,"Very Low",IF(Table1[[#This Row],[units_sold]]&lt;150,"Low",IF(Table1[[#This Row],[units_sold]]&lt;300,"Medium","High")))</f>
        <v>Low</v>
      </c>
      <c r="M738" t="str">
        <f t="shared" si="23"/>
        <v>Normal</v>
      </c>
      <c r="N738">
        <f>(Table1[[#This Row],[price]]*0.7)</f>
        <v>612.91300000000001</v>
      </c>
    </row>
    <row r="739" spans="1:14" x14ac:dyDescent="0.35">
      <c r="A739" t="str">
        <f t="shared" si="22"/>
        <v>P738</v>
      </c>
      <c r="B739" t="s">
        <v>6</v>
      </c>
      <c r="C739" t="s">
        <v>7</v>
      </c>
      <c r="D739">
        <v>143.54</v>
      </c>
      <c r="E739">
        <v>124</v>
      </c>
      <c r="F739">
        <v>2.6</v>
      </c>
      <c r="G739" t="b">
        <v>0</v>
      </c>
      <c r="H739">
        <f>(Table1[[#This Row],[price]]*Table1[[#This Row],[units_sold]])</f>
        <v>17798.96</v>
      </c>
      <c r="I739" t="str">
        <f>IF(Table1[[#This Row],[in_stock]]=TRUE,"Available","Out of stock")</f>
        <v>Out of stock</v>
      </c>
      <c r="J739" t="str">
        <f>IF(Table1[[#This Row],[rating]]&gt;=4,"High",IF(Table1[[#This Row],[rating]]&gt;=2.5,"Medium","Low"))</f>
        <v>Medium</v>
      </c>
      <c r="K739" t="str">
        <f>IF(Table1[[#This Row],[price]]&lt;200,"Budget",IF(Table1[[#This Row],[price]]&lt;600,"Mid-Range",IF(Table1[[#This Row],[price]]&lt;1000,"Premium","Luxury")))</f>
        <v>Budget</v>
      </c>
      <c r="L739" t="str">
        <f>IF(Table1[[#This Row],[units_sold]]&lt;50,"Very Low",IF(Table1[[#This Row],[units_sold]]&lt;150,"Low",IF(Table1[[#This Row],[units_sold]]&lt;300,"Medium","High")))</f>
        <v>Low</v>
      </c>
      <c r="M739" t="str">
        <f t="shared" si="23"/>
        <v>Normal</v>
      </c>
      <c r="N739">
        <f>(Table1[[#This Row],[price]]*0.7)</f>
        <v>100.47799999999999</v>
      </c>
    </row>
    <row r="740" spans="1:14" x14ac:dyDescent="0.35">
      <c r="A740" t="str">
        <f t="shared" si="22"/>
        <v>P739</v>
      </c>
      <c r="B740" t="s">
        <v>17</v>
      </c>
      <c r="C740" t="s">
        <v>7</v>
      </c>
      <c r="D740">
        <v>1079.28</v>
      </c>
      <c r="E740">
        <v>1</v>
      </c>
      <c r="F740">
        <v>2.1</v>
      </c>
      <c r="G740" t="b">
        <v>1</v>
      </c>
      <c r="H740">
        <f>(Table1[[#This Row],[price]]*Table1[[#This Row],[units_sold]])</f>
        <v>1079.28</v>
      </c>
      <c r="I740" t="str">
        <f>IF(Table1[[#This Row],[in_stock]]=TRUE,"Available","Out of stock")</f>
        <v>Available</v>
      </c>
      <c r="J740" t="str">
        <f>IF(Table1[[#This Row],[rating]]&gt;=4,"High",IF(Table1[[#This Row],[rating]]&gt;=2.5,"Medium","Low"))</f>
        <v>Low</v>
      </c>
      <c r="K740" t="str">
        <f>IF(Table1[[#This Row],[price]]&lt;200,"Budget",IF(Table1[[#This Row],[price]]&lt;600,"Mid-Range",IF(Table1[[#This Row],[price]]&lt;1000,"Premium","Luxury")))</f>
        <v>Luxury</v>
      </c>
      <c r="L740" t="str">
        <f>IF(Table1[[#This Row],[units_sold]]&lt;50,"Very Low",IF(Table1[[#This Row],[units_sold]]&lt;150,"Low",IF(Table1[[#This Row],[units_sold]]&lt;300,"Medium","High")))</f>
        <v>Very Low</v>
      </c>
      <c r="M740" t="str">
        <f t="shared" si="23"/>
        <v>Normal</v>
      </c>
      <c r="N740">
        <f>(Table1[[#This Row],[price]]*0.7)</f>
        <v>755.49599999999998</v>
      </c>
    </row>
    <row r="741" spans="1:14" x14ac:dyDescent="0.35">
      <c r="A741" t="str">
        <f t="shared" si="22"/>
        <v>P740</v>
      </c>
      <c r="B741" t="s">
        <v>6</v>
      </c>
      <c r="C741" t="s">
        <v>7</v>
      </c>
      <c r="D741">
        <v>605.86</v>
      </c>
      <c r="E741">
        <v>456</v>
      </c>
      <c r="F741">
        <v>1.8</v>
      </c>
      <c r="G741" t="b">
        <v>0</v>
      </c>
      <c r="H741">
        <f>(Table1[[#This Row],[price]]*Table1[[#This Row],[units_sold]])</f>
        <v>276272.16000000003</v>
      </c>
      <c r="I741" t="str">
        <f>IF(Table1[[#This Row],[in_stock]]=TRUE,"Available","Out of stock")</f>
        <v>Out of stock</v>
      </c>
      <c r="J741" t="str">
        <f>IF(Table1[[#This Row],[rating]]&gt;=4,"High",IF(Table1[[#This Row],[rating]]&gt;=2.5,"Medium","Low"))</f>
        <v>Low</v>
      </c>
      <c r="K741" t="str">
        <f>IF(Table1[[#This Row],[price]]&lt;200,"Budget",IF(Table1[[#This Row],[price]]&lt;600,"Mid-Range",IF(Table1[[#This Row],[price]]&lt;1000,"Premium","Luxury")))</f>
        <v>Premium</v>
      </c>
      <c r="L741" t="str">
        <f>IF(Table1[[#This Row],[units_sold]]&lt;50,"Very Low",IF(Table1[[#This Row],[units_sold]]&lt;150,"Low",IF(Table1[[#This Row],[units_sold]]&lt;300,"Medium","High")))</f>
        <v>High</v>
      </c>
      <c r="M741" t="str">
        <f t="shared" si="23"/>
        <v>High Demand - Out of Stock</v>
      </c>
      <c r="N741">
        <f>(Table1[[#This Row],[price]]*0.7)</f>
        <v>424.10199999999998</v>
      </c>
    </row>
    <row r="742" spans="1:14" x14ac:dyDescent="0.35">
      <c r="A742" t="str">
        <f t="shared" si="22"/>
        <v>P741</v>
      </c>
      <c r="B742" t="s">
        <v>17</v>
      </c>
      <c r="C742" t="s">
        <v>7</v>
      </c>
      <c r="D742">
        <v>1465.32</v>
      </c>
      <c r="E742">
        <v>247</v>
      </c>
      <c r="F742">
        <v>2.9</v>
      </c>
      <c r="G742" t="b">
        <v>1</v>
      </c>
      <c r="H742">
        <f>(Table1[[#This Row],[price]]*Table1[[#This Row],[units_sold]])</f>
        <v>361934.04</v>
      </c>
      <c r="I742" t="str">
        <f>IF(Table1[[#This Row],[in_stock]]=TRUE,"Available","Out of stock")</f>
        <v>Available</v>
      </c>
      <c r="J742" t="str">
        <f>IF(Table1[[#This Row],[rating]]&gt;=4,"High",IF(Table1[[#This Row],[rating]]&gt;=2.5,"Medium","Low"))</f>
        <v>Medium</v>
      </c>
      <c r="K742" t="str">
        <f>IF(Table1[[#This Row],[price]]&lt;200,"Budget",IF(Table1[[#This Row],[price]]&lt;600,"Mid-Range",IF(Table1[[#This Row],[price]]&lt;1000,"Premium","Luxury")))</f>
        <v>Luxury</v>
      </c>
      <c r="L742" t="str">
        <f>IF(Table1[[#This Row],[units_sold]]&lt;50,"Very Low",IF(Table1[[#This Row],[units_sold]]&lt;150,"Low",IF(Table1[[#This Row],[units_sold]]&lt;300,"Medium","High")))</f>
        <v>Medium</v>
      </c>
      <c r="M742" t="str">
        <f t="shared" si="23"/>
        <v>Normal</v>
      </c>
      <c r="N742">
        <f>(Table1[[#This Row],[price]]*0.7)</f>
        <v>1025.7239999999999</v>
      </c>
    </row>
    <row r="743" spans="1:14" x14ac:dyDescent="0.35">
      <c r="A743" t="str">
        <f t="shared" si="22"/>
        <v>P742</v>
      </c>
      <c r="B743" t="s">
        <v>6</v>
      </c>
      <c r="C743" t="s">
        <v>7</v>
      </c>
      <c r="D743">
        <v>1236.53</v>
      </c>
      <c r="E743">
        <v>343</v>
      </c>
      <c r="F743">
        <v>2.1</v>
      </c>
      <c r="G743" t="b">
        <v>0</v>
      </c>
      <c r="H743">
        <f>(Table1[[#This Row],[price]]*Table1[[#This Row],[units_sold]])</f>
        <v>424129.79</v>
      </c>
      <c r="I743" t="str">
        <f>IF(Table1[[#This Row],[in_stock]]=TRUE,"Available","Out of stock")</f>
        <v>Out of stock</v>
      </c>
      <c r="J743" t="str">
        <f>IF(Table1[[#This Row],[rating]]&gt;=4,"High",IF(Table1[[#This Row],[rating]]&gt;=2.5,"Medium","Low"))</f>
        <v>Low</v>
      </c>
      <c r="K743" t="str">
        <f>IF(Table1[[#This Row],[price]]&lt;200,"Budget",IF(Table1[[#This Row],[price]]&lt;600,"Mid-Range",IF(Table1[[#This Row],[price]]&lt;1000,"Premium","Luxury")))</f>
        <v>Luxury</v>
      </c>
      <c r="L743" t="str">
        <f>IF(Table1[[#This Row],[units_sold]]&lt;50,"Very Low",IF(Table1[[#This Row],[units_sold]]&lt;150,"Low",IF(Table1[[#This Row],[units_sold]]&lt;300,"Medium","High")))</f>
        <v>High</v>
      </c>
      <c r="M743" t="str">
        <f t="shared" si="23"/>
        <v>High Demand - Out of Stock</v>
      </c>
      <c r="N743">
        <f>(Table1[[#This Row],[price]]*0.7)</f>
        <v>865.57099999999991</v>
      </c>
    </row>
    <row r="744" spans="1:14" x14ac:dyDescent="0.35">
      <c r="A744" t="str">
        <f t="shared" si="22"/>
        <v>P743</v>
      </c>
      <c r="B744" t="s">
        <v>8</v>
      </c>
      <c r="C744" t="s">
        <v>9</v>
      </c>
      <c r="D744">
        <v>788.5</v>
      </c>
      <c r="E744">
        <v>128</v>
      </c>
      <c r="F744">
        <v>2.1</v>
      </c>
      <c r="G744" t="b">
        <v>1</v>
      </c>
      <c r="H744">
        <f>(Table1[[#This Row],[price]]*Table1[[#This Row],[units_sold]])</f>
        <v>100928</v>
      </c>
      <c r="I744" t="str">
        <f>IF(Table1[[#This Row],[in_stock]]=TRUE,"Available","Out of stock")</f>
        <v>Available</v>
      </c>
      <c r="J744" t="str">
        <f>IF(Table1[[#This Row],[rating]]&gt;=4,"High",IF(Table1[[#This Row],[rating]]&gt;=2.5,"Medium","Low"))</f>
        <v>Low</v>
      </c>
      <c r="K744" t="str">
        <f>IF(Table1[[#This Row],[price]]&lt;200,"Budget",IF(Table1[[#This Row],[price]]&lt;600,"Mid-Range",IF(Table1[[#This Row],[price]]&lt;1000,"Premium","Luxury")))</f>
        <v>Premium</v>
      </c>
      <c r="L744" t="str">
        <f>IF(Table1[[#This Row],[units_sold]]&lt;50,"Very Low",IF(Table1[[#This Row],[units_sold]]&lt;150,"Low",IF(Table1[[#This Row],[units_sold]]&lt;300,"Medium","High")))</f>
        <v>Low</v>
      </c>
      <c r="M744" t="str">
        <f t="shared" si="23"/>
        <v>Normal</v>
      </c>
      <c r="N744">
        <f>(Table1[[#This Row],[price]]*0.7)</f>
        <v>551.94999999999993</v>
      </c>
    </row>
    <row r="745" spans="1:14" x14ac:dyDescent="0.35">
      <c r="A745" t="str">
        <f t="shared" si="22"/>
        <v>P744</v>
      </c>
      <c r="B745" t="s">
        <v>13</v>
      </c>
      <c r="C745" t="s">
        <v>9</v>
      </c>
      <c r="D745">
        <v>193.6</v>
      </c>
      <c r="E745">
        <v>191</v>
      </c>
      <c r="F745">
        <v>3.6</v>
      </c>
      <c r="G745" t="b">
        <v>1</v>
      </c>
      <c r="H745">
        <f>(Table1[[#This Row],[price]]*Table1[[#This Row],[units_sold]])</f>
        <v>36977.599999999999</v>
      </c>
      <c r="I745" t="str">
        <f>IF(Table1[[#This Row],[in_stock]]=TRUE,"Available","Out of stock")</f>
        <v>Available</v>
      </c>
      <c r="J745" t="str">
        <f>IF(Table1[[#This Row],[rating]]&gt;=4,"High",IF(Table1[[#This Row],[rating]]&gt;=2.5,"Medium","Low"))</f>
        <v>Medium</v>
      </c>
      <c r="K745" t="str">
        <f>IF(Table1[[#This Row],[price]]&lt;200,"Budget",IF(Table1[[#This Row],[price]]&lt;600,"Mid-Range",IF(Table1[[#This Row],[price]]&lt;1000,"Premium","Luxury")))</f>
        <v>Budget</v>
      </c>
      <c r="L745" t="str">
        <f>IF(Table1[[#This Row],[units_sold]]&lt;50,"Very Low",IF(Table1[[#This Row],[units_sold]]&lt;150,"Low",IF(Table1[[#This Row],[units_sold]]&lt;300,"Medium","High")))</f>
        <v>Medium</v>
      </c>
      <c r="M745" t="str">
        <f t="shared" si="23"/>
        <v>Normal</v>
      </c>
      <c r="N745">
        <f>(Table1[[#This Row],[price]]*0.7)</f>
        <v>135.51999999999998</v>
      </c>
    </row>
    <row r="746" spans="1:14" x14ac:dyDescent="0.35">
      <c r="A746" t="str">
        <f t="shared" si="22"/>
        <v>P745</v>
      </c>
      <c r="B746" t="s">
        <v>13</v>
      </c>
      <c r="C746" t="s">
        <v>9</v>
      </c>
      <c r="D746">
        <v>1290.53</v>
      </c>
      <c r="E746">
        <v>67</v>
      </c>
      <c r="F746">
        <v>4.9000000000000004</v>
      </c>
      <c r="G746" t="b">
        <v>1</v>
      </c>
      <c r="H746">
        <f>(Table1[[#This Row],[price]]*Table1[[#This Row],[units_sold]])</f>
        <v>86465.51</v>
      </c>
      <c r="I746" t="str">
        <f>IF(Table1[[#This Row],[in_stock]]=TRUE,"Available","Out of stock")</f>
        <v>Available</v>
      </c>
      <c r="J746" t="str">
        <f>IF(Table1[[#This Row],[rating]]&gt;=4,"High",IF(Table1[[#This Row],[rating]]&gt;=2.5,"Medium","Low"))</f>
        <v>High</v>
      </c>
      <c r="K746" t="str">
        <f>IF(Table1[[#This Row],[price]]&lt;200,"Budget",IF(Table1[[#This Row],[price]]&lt;600,"Mid-Range",IF(Table1[[#This Row],[price]]&lt;1000,"Premium","Luxury")))</f>
        <v>Luxury</v>
      </c>
      <c r="L746" t="str">
        <f>IF(Table1[[#This Row],[units_sold]]&lt;50,"Very Low",IF(Table1[[#This Row],[units_sold]]&lt;150,"Low",IF(Table1[[#This Row],[units_sold]]&lt;300,"Medium","High")))</f>
        <v>Low</v>
      </c>
      <c r="M746" t="str">
        <f t="shared" si="23"/>
        <v>Normal</v>
      </c>
      <c r="N746">
        <f>(Table1[[#This Row],[price]]*0.7)</f>
        <v>903.37099999999987</v>
      </c>
    </row>
    <row r="747" spans="1:14" x14ac:dyDescent="0.35">
      <c r="A747" t="str">
        <f t="shared" si="22"/>
        <v>P746</v>
      </c>
      <c r="B747" t="s">
        <v>11</v>
      </c>
      <c r="C747" t="s">
        <v>9</v>
      </c>
      <c r="D747">
        <v>1201.67</v>
      </c>
      <c r="E747">
        <v>4</v>
      </c>
      <c r="F747">
        <v>3.4</v>
      </c>
      <c r="G747" t="b">
        <v>0</v>
      </c>
      <c r="H747">
        <f>(Table1[[#This Row],[price]]*Table1[[#This Row],[units_sold]])</f>
        <v>4806.68</v>
      </c>
      <c r="I747" t="str">
        <f>IF(Table1[[#This Row],[in_stock]]=TRUE,"Available","Out of stock")</f>
        <v>Out of stock</v>
      </c>
      <c r="J747" t="str">
        <f>IF(Table1[[#This Row],[rating]]&gt;=4,"High",IF(Table1[[#This Row],[rating]]&gt;=2.5,"Medium","Low"))</f>
        <v>Medium</v>
      </c>
      <c r="K747" t="str">
        <f>IF(Table1[[#This Row],[price]]&lt;200,"Budget",IF(Table1[[#This Row],[price]]&lt;600,"Mid-Range",IF(Table1[[#This Row],[price]]&lt;1000,"Premium","Luxury")))</f>
        <v>Luxury</v>
      </c>
      <c r="L747" t="str">
        <f>IF(Table1[[#This Row],[units_sold]]&lt;50,"Very Low",IF(Table1[[#This Row],[units_sold]]&lt;150,"Low",IF(Table1[[#This Row],[units_sold]]&lt;300,"Medium","High")))</f>
        <v>Very Low</v>
      </c>
      <c r="M747" t="str">
        <f t="shared" si="23"/>
        <v>Normal</v>
      </c>
      <c r="N747">
        <f>(Table1[[#This Row],[price]]*0.7)</f>
        <v>841.16899999999998</v>
      </c>
    </row>
    <row r="748" spans="1:14" x14ac:dyDescent="0.35">
      <c r="A748" t="str">
        <f t="shared" si="22"/>
        <v>P747</v>
      </c>
      <c r="B748" t="s">
        <v>10</v>
      </c>
      <c r="C748" t="s">
        <v>9</v>
      </c>
      <c r="D748">
        <v>285.02999999999997</v>
      </c>
      <c r="E748">
        <v>442</v>
      </c>
      <c r="F748">
        <v>1.3</v>
      </c>
      <c r="G748" t="b">
        <v>1</v>
      </c>
      <c r="H748">
        <f>(Table1[[#This Row],[price]]*Table1[[#This Row],[units_sold]])</f>
        <v>125983.26</v>
      </c>
      <c r="I748" t="str">
        <f>IF(Table1[[#This Row],[in_stock]]=TRUE,"Available","Out of stock")</f>
        <v>Available</v>
      </c>
      <c r="J748" t="str">
        <f>IF(Table1[[#This Row],[rating]]&gt;=4,"High",IF(Table1[[#This Row],[rating]]&gt;=2.5,"Medium","Low"))</f>
        <v>Low</v>
      </c>
      <c r="K748" t="str">
        <f>IF(Table1[[#This Row],[price]]&lt;200,"Budget",IF(Table1[[#This Row],[price]]&lt;600,"Mid-Range",IF(Table1[[#This Row],[price]]&lt;1000,"Premium","Luxury")))</f>
        <v>Mid-Range</v>
      </c>
      <c r="L748" t="str">
        <f>IF(Table1[[#This Row],[units_sold]]&lt;50,"Very Low",IF(Table1[[#This Row],[units_sold]]&lt;150,"Low",IF(Table1[[#This Row],[units_sold]]&lt;300,"Medium","High")))</f>
        <v>High</v>
      </c>
      <c r="M748" t="str">
        <f t="shared" si="23"/>
        <v>Normal</v>
      </c>
      <c r="N748">
        <f>(Table1[[#This Row],[price]]*0.7)</f>
        <v>199.52099999999996</v>
      </c>
    </row>
    <row r="749" spans="1:14" x14ac:dyDescent="0.35">
      <c r="A749" t="str">
        <f t="shared" si="22"/>
        <v>P748</v>
      </c>
      <c r="B749" t="s">
        <v>13</v>
      </c>
      <c r="C749" t="s">
        <v>9</v>
      </c>
      <c r="D749">
        <v>449.96</v>
      </c>
      <c r="E749">
        <v>409</v>
      </c>
      <c r="F749">
        <v>1.3</v>
      </c>
      <c r="G749" t="b">
        <v>0</v>
      </c>
      <c r="H749">
        <f>(Table1[[#This Row],[price]]*Table1[[#This Row],[units_sold]])</f>
        <v>184033.63999999998</v>
      </c>
      <c r="I749" t="str">
        <f>IF(Table1[[#This Row],[in_stock]]=TRUE,"Available","Out of stock")</f>
        <v>Out of stock</v>
      </c>
      <c r="J749" t="str">
        <f>IF(Table1[[#This Row],[rating]]&gt;=4,"High",IF(Table1[[#This Row],[rating]]&gt;=2.5,"Medium","Low"))</f>
        <v>Low</v>
      </c>
      <c r="K749" t="str">
        <f>IF(Table1[[#This Row],[price]]&lt;200,"Budget",IF(Table1[[#This Row],[price]]&lt;600,"Mid-Range",IF(Table1[[#This Row],[price]]&lt;1000,"Premium","Luxury")))</f>
        <v>Mid-Range</v>
      </c>
      <c r="L749" t="str">
        <f>IF(Table1[[#This Row],[units_sold]]&lt;50,"Very Low",IF(Table1[[#This Row],[units_sold]]&lt;150,"Low",IF(Table1[[#This Row],[units_sold]]&lt;300,"Medium","High")))</f>
        <v>High</v>
      </c>
      <c r="M749" t="str">
        <f t="shared" si="23"/>
        <v>High Demand - Out of Stock</v>
      </c>
      <c r="N749">
        <f>(Table1[[#This Row],[price]]*0.7)</f>
        <v>314.97199999999998</v>
      </c>
    </row>
    <row r="750" spans="1:14" x14ac:dyDescent="0.35">
      <c r="A750" t="str">
        <f t="shared" si="22"/>
        <v>P749</v>
      </c>
      <c r="B750" t="s">
        <v>13</v>
      </c>
      <c r="C750" t="s">
        <v>9</v>
      </c>
      <c r="D750">
        <v>1192.18</v>
      </c>
      <c r="E750">
        <v>303</v>
      </c>
      <c r="F750">
        <v>4.8</v>
      </c>
      <c r="G750" t="b">
        <v>0</v>
      </c>
      <c r="H750">
        <f>(Table1[[#This Row],[price]]*Table1[[#This Row],[units_sold]])</f>
        <v>361230.54000000004</v>
      </c>
      <c r="I750" t="str">
        <f>IF(Table1[[#This Row],[in_stock]]=TRUE,"Available","Out of stock")</f>
        <v>Out of stock</v>
      </c>
      <c r="J750" t="str">
        <f>IF(Table1[[#This Row],[rating]]&gt;=4,"High",IF(Table1[[#This Row],[rating]]&gt;=2.5,"Medium","Low"))</f>
        <v>High</v>
      </c>
      <c r="K750" t="str">
        <f>IF(Table1[[#This Row],[price]]&lt;200,"Budget",IF(Table1[[#This Row],[price]]&lt;600,"Mid-Range",IF(Table1[[#This Row],[price]]&lt;1000,"Premium","Luxury")))</f>
        <v>Luxury</v>
      </c>
      <c r="L750" t="str">
        <f>IF(Table1[[#This Row],[units_sold]]&lt;50,"Very Low",IF(Table1[[#This Row],[units_sold]]&lt;150,"Low",IF(Table1[[#This Row],[units_sold]]&lt;300,"Medium","High")))</f>
        <v>High</v>
      </c>
      <c r="M750" t="str">
        <f t="shared" si="23"/>
        <v>High Demand - Out of Stock</v>
      </c>
      <c r="N750">
        <f>(Table1[[#This Row],[price]]*0.7)</f>
        <v>834.52599999999995</v>
      </c>
    </row>
    <row r="751" spans="1:14" x14ac:dyDescent="0.35">
      <c r="A751" t="str">
        <f t="shared" si="22"/>
        <v>P750</v>
      </c>
      <c r="B751" t="s">
        <v>12</v>
      </c>
      <c r="C751" t="s">
        <v>7</v>
      </c>
      <c r="D751">
        <v>285.99</v>
      </c>
      <c r="E751">
        <v>294</v>
      </c>
      <c r="F751">
        <v>2.2000000000000002</v>
      </c>
      <c r="G751" t="b">
        <v>1</v>
      </c>
      <c r="H751">
        <f>(Table1[[#This Row],[price]]*Table1[[#This Row],[units_sold]])</f>
        <v>84081.06</v>
      </c>
      <c r="I751" t="str">
        <f>IF(Table1[[#This Row],[in_stock]]=TRUE,"Available","Out of stock")</f>
        <v>Available</v>
      </c>
      <c r="J751" t="str">
        <f>IF(Table1[[#This Row],[rating]]&gt;=4,"High",IF(Table1[[#This Row],[rating]]&gt;=2.5,"Medium","Low"))</f>
        <v>Low</v>
      </c>
      <c r="K751" t="str">
        <f>IF(Table1[[#This Row],[price]]&lt;200,"Budget",IF(Table1[[#This Row],[price]]&lt;600,"Mid-Range",IF(Table1[[#This Row],[price]]&lt;1000,"Premium","Luxury")))</f>
        <v>Mid-Range</v>
      </c>
      <c r="L751" t="str">
        <f>IF(Table1[[#This Row],[units_sold]]&lt;50,"Very Low",IF(Table1[[#This Row],[units_sold]]&lt;150,"Low",IF(Table1[[#This Row],[units_sold]]&lt;300,"Medium","High")))</f>
        <v>Medium</v>
      </c>
      <c r="M751" t="str">
        <f t="shared" si="23"/>
        <v>Normal</v>
      </c>
      <c r="N751">
        <f>(Table1[[#This Row],[price]]*0.7)</f>
        <v>200.19299999999998</v>
      </c>
    </row>
    <row r="752" spans="1:14" x14ac:dyDescent="0.35">
      <c r="A752" t="str">
        <f t="shared" si="22"/>
        <v>P751</v>
      </c>
      <c r="B752" t="s">
        <v>12</v>
      </c>
      <c r="C752" t="s">
        <v>7</v>
      </c>
      <c r="D752">
        <v>1377.45</v>
      </c>
      <c r="E752">
        <v>143</v>
      </c>
      <c r="F752">
        <v>1.4</v>
      </c>
      <c r="G752" t="b">
        <v>1</v>
      </c>
      <c r="H752">
        <f>(Table1[[#This Row],[price]]*Table1[[#This Row],[units_sold]])</f>
        <v>196975.35</v>
      </c>
      <c r="I752" t="str">
        <f>IF(Table1[[#This Row],[in_stock]]=TRUE,"Available","Out of stock")</f>
        <v>Available</v>
      </c>
      <c r="J752" t="str">
        <f>IF(Table1[[#This Row],[rating]]&gt;=4,"High",IF(Table1[[#This Row],[rating]]&gt;=2.5,"Medium","Low"))</f>
        <v>Low</v>
      </c>
      <c r="K752" t="str">
        <f>IF(Table1[[#This Row],[price]]&lt;200,"Budget",IF(Table1[[#This Row],[price]]&lt;600,"Mid-Range",IF(Table1[[#This Row],[price]]&lt;1000,"Premium","Luxury")))</f>
        <v>Luxury</v>
      </c>
      <c r="L752" t="str">
        <f>IF(Table1[[#This Row],[units_sold]]&lt;50,"Very Low",IF(Table1[[#This Row],[units_sold]]&lt;150,"Low",IF(Table1[[#This Row],[units_sold]]&lt;300,"Medium","High")))</f>
        <v>Low</v>
      </c>
      <c r="M752" t="str">
        <f t="shared" si="23"/>
        <v>Normal</v>
      </c>
      <c r="N752">
        <f>(Table1[[#This Row],[price]]*0.7)</f>
        <v>964.21499999999992</v>
      </c>
    </row>
    <row r="753" spans="1:14" x14ac:dyDescent="0.35">
      <c r="A753" t="str">
        <f t="shared" si="22"/>
        <v>P752</v>
      </c>
      <c r="B753" t="s">
        <v>11</v>
      </c>
      <c r="C753" t="s">
        <v>9</v>
      </c>
      <c r="D753">
        <v>642.54999999999995</v>
      </c>
      <c r="E753">
        <v>191</v>
      </c>
      <c r="F753">
        <v>3.4</v>
      </c>
      <c r="G753" t="b">
        <v>1</v>
      </c>
      <c r="H753">
        <f>(Table1[[#This Row],[price]]*Table1[[#This Row],[units_sold]])</f>
        <v>122727.04999999999</v>
      </c>
      <c r="I753" t="str">
        <f>IF(Table1[[#This Row],[in_stock]]=TRUE,"Available","Out of stock")</f>
        <v>Available</v>
      </c>
      <c r="J753" t="str">
        <f>IF(Table1[[#This Row],[rating]]&gt;=4,"High",IF(Table1[[#This Row],[rating]]&gt;=2.5,"Medium","Low"))</f>
        <v>Medium</v>
      </c>
      <c r="K753" t="str">
        <f>IF(Table1[[#This Row],[price]]&lt;200,"Budget",IF(Table1[[#This Row],[price]]&lt;600,"Mid-Range",IF(Table1[[#This Row],[price]]&lt;1000,"Premium","Luxury")))</f>
        <v>Premium</v>
      </c>
      <c r="L753" t="str">
        <f>IF(Table1[[#This Row],[units_sold]]&lt;50,"Very Low",IF(Table1[[#This Row],[units_sold]]&lt;150,"Low",IF(Table1[[#This Row],[units_sold]]&lt;300,"Medium","High")))</f>
        <v>Medium</v>
      </c>
      <c r="M753" t="str">
        <f t="shared" si="23"/>
        <v>Normal</v>
      </c>
      <c r="N753">
        <f>(Table1[[#This Row],[price]]*0.7)</f>
        <v>449.78499999999991</v>
      </c>
    </row>
    <row r="754" spans="1:14" x14ac:dyDescent="0.35">
      <c r="A754" t="str">
        <f t="shared" si="22"/>
        <v>P753</v>
      </c>
      <c r="B754" t="s">
        <v>10</v>
      </c>
      <c r="C754" t="s">
        <v>9</v>
      </c>
      <c r="D754">
        <v>139.69</v>
      </c>
      <c r="E754">
        <v>21</v>
      </c>
      <c r="F754">
        <v>3.5</v>
      </c>
      <c r="G754" t="b">
        <v>1</v>
      </c>
      <c r="H754">
        <f>(Table1[[#This Row],[price]]*Table1[[#This Row],[units_sold]])</f>
        <v>2933.49</v>
      </c>
      <c r="I754" t="str">
        <f>IF(Table1[[#This Row],[in_stock]]=TRUE,"Available","Out of stock")</f>
        <v>Available</v>
      </c>
      <c r="J754" t="str">
        <f>IF(Table1[[#This Row],[rating]]&gt;=4,"High",IF(Table1[[#This Row],[rating]]&gt;=2.5,"Medium","Low"))</f>
        <v>Medium</v>
      </c>
      <c r="K754" t="str">
        <f>IF(Table1[[#This Row],[price]]&lt;200,"Budget",IF(Table1[[#This Row],[price]]&lt;600,"Mid-Range",IF(Table1[[#This Row],[price]]&lt;1000,"Premium","Luxury")))</f>
        <v>Budget</v>
      </c>
      <c r="L754" t="str">
        <f>IF(Table1[[#This Row],[units_sold]]&lt;50,"Very Low",IF(Table1[[#This Row],[units_sold]]&lt;150,"Low",IF(Table1[[#This Row],[units_sold]]&lt;300,"Medium","High")))</f>
        <v>Very Low</v>
      </c>
      <c r="M754" t="str">
        <f t="shared" si="23"/>
        <v>Normal</v>
      </c>
      <c r="N754">
        <f>(Table1[[#This Row],[price]]*0.7)</f>
        <v>97.782999999999987</v>
      </c>
    </row>
    <row r="755" spans="1:14" x14ac:dyDescent="0.35">
      <c r="A755" t="str">
        <f t="shared" si="22"/>
        <v>P754</v>
      </c>
      <c r="B755" t="s">
        <v>15</v>
      </c>
      <c r="C755" t="s">
        <v>7</v>
      </c>
      <c r="D755">
        <v>1225.47</v>
      </c>
      <c r="E755">
        <v>227</v>
      </c>
      <c r="F755">
        <v>3.6</v>
      </c>
      <c r="G755" t="b">
        <v>0</v>
      </c>
      <c r="H755">
        <f>(Table1[[#This Row],[price]]*Table1[[#This Row],[units_sold]])</f>
        <v>278181.69</v>
      </c>
      <c r="I755" t="str">
        <f>IF(Table1[[#This Row],[in_stock]]=TRUE,"Available","Out of stock")</f>
        <v>Out of stock</v>
      </c>
      <c r="J755" t="str">
        <f>IF(Table1[[#This Row],[rating]]&gt;=4,"High",IF(Table1[[#This Row],[rating]]&gt;=2.5,"Medium","Low"))</f>
        <v>Medium</v>
      </c>
      <c r="K755" t="str">
        <f>IF(Table1[[#This Row],[price]]&lt;200,"Budget",IF(Table1[[#This Row],[price]]&lt;600,"Mid-Range",IF(Table1[[#This Row],[price]]&lt;1000,"Premium","Luxury")))</f>
        <v>Luxury</v>
      </c>
      <c r="L755" t="str">
        <f>IF(Table1[[#This Row],[units_sold]]&lt;50,"Very Low",IF(Table1[[#This Row],[units_sold]]&lt;150,"Low",IF(Table1[[#This Row],[units_sold]]&lt;300,"Medium","High")))</f>
        <v>Medium</v>
      </c>
      <c r="M755" t="str">
        <f t="shared" si="23"/>
        <v>Normal</v>
      </c>
      <c r="N755">
        <f>(Table1[[#This Row],[price]]*0.7)</f>
        <v>857.82899999999995</v>
      </c>
    </row>
    <row r="756" spans="1:14" x14ac:dyDescent="0.35">
      <c r="A756" t="str">
        <f t="shared" si="22"/>
        <v>P755</v>
      </c>
      <c r="B756" t="s">
        <v>12</v>
      </c>
      <c r="C756" t="s">
        <v>7</v>
      </c>
      <c r="D756">
        <v>566.53</v>
      </c>
      <c r="E756">
        <v>313</v>
      </c>
      <c r="F756">
        <v>2.1</v>
      </c>
      <c r="G756" t="b">
        <v>1</v>
      </c>
      <c r="H756">
        <f>(Table1[[#This Row],[price]]*Table1[[#This Row],[units_sold]])</f>
        <v>177323.88999999998</v>
      </c>
      <c r="I756" t="str">
        <f>IF(Table1[[#This Row],[in_stock]]=TRUE,"Available","Out of stock")</f>
        <v>Available</v>
      </c>
      <c r="J756" t="str">
        <f>IF(Table1[[#This Row],[rating]]&gt;=4,"High",IF(Table1[[#This Row],[rating]]&gt;=2.5,"Medium","Low"))</f>
        <v>Low</v>
      </c>
      <c r="K756" t="str">
        <f>IF(Table1[[#This Row],[price]]&lt;200,"Budget",IF(Table1[[#This Row],[price]]&lt;600,"Mid-Range",IF(Table1[[#This Row],[price]]&lt;1000,"Premium","Luxury")))</f>
        <v>Mid-Range</v>
      </c>
      <c r="L756" t="str">
        <f>IF(Table1[[#This Row],[units_sold]]&lt;50,"Very Low",IF(Table1[[#This Row],[units_sold]]&lt;150,"Low",IF(Table1[[#This Row],[units_sold]]&lt;300,"Medium","High")))</f>
        <v>High</v>
      </c>
      <c r="M756" t="str">
        <f t="shared" si="23"/>
        <v>Normal</v>
      </c>
      <c r="N756">
        <f>(Table1[[#This Row],[price]]*0.7)</f>
        <v>396.57099999999997</v>
      </c>
    </row>
    <row r="757" spans="1:14" x14ac:dyDescent="0.35">
      <c r="A757" t="str">
        <f t="shared" si="22"/>
        <v>P756</v>
      </c>
      <c r="B757" t="s">
        <v>15</v>
      </c>
      <c r="C757" t="s">
        <v>7</v>
      </c>
      <c r="D757">
        <v>794.48</v>
      </c>
      <c r="E757">
        <v>117</v>
      </c>
      <c r="F757">
        <v>1.1000000000000001</v>
      </c>
      <c r="G757" t="b">
        <v>1</v>
      </c>
      <c r="H757">
        <f>(Table1[[#This Row],[price]]*Table1[[#This Row],[units_sold]])</f>
        <v>92954.16</v>
      </c>
      <c r="I757" t="str">
        <f>IF(Table1[[#This Row],[in_stock]]=TRUE,"Available","Out of stock")</f>
        <v>Available</v>
      </c>
      <c r="J757" t="str">
        <f>IF(Table1[[#This Row],[rating]]&gt;=4,"High",IF(Table1[[#This Row],[rating]]&gt;=2.5,"Medium","Low"))</f>
        <v>Low</v>
      </c>
      <c r="K757" t="str">
        <f>IF(Table1[[#This Row],[price]]&lt;200,"Budget",IF(Table1[[#This Row],[price]]&lt;600,"Mid-Range",IF(Table1[[#This Row],[price]]&lt;1000,"Premium","Luxury")))</f>
        <v>Premium</v>
      </c>
      <c r="L757" t="str">
        <f>IF(Table1[[#This Row],[units_sold]]&lt;50,"Very Low",IF(Table1[[#This Row],[units_sold]]&lt;150,"Low",IF(Table1[[#This Row],[units_sold]]&lt;300,"Medium","High")))</f>
        <v>Low</v>
      </c>
      <c r="M757" t="str">
        <f t="shared" si="23"/>
        <v>Normal</v>
      </c>
      <c r="N757">
        <f>(Table1[[#This Row],[price]]*0.7)</f>
        <v>556.13599999999997</v>
      </c>
    </row>
    <row r="758" spans="1:14" x14ac:dyDescent="0.35">
      <c r="A758" t="str">
        <f t="shared" si="22"/>
        <v>P757</v>
      </c>
      <c r="B758" t="s">
        <v>16</v>
      </c>
      <c r="C758" t="s">
        <v>9</v>
      </c>
      <c r="D758">
        <v>177.33</v>
      </c>
      <c r="E758">
        <v>437</v>
      </c>
      <c r="F758">
        <v>4.9000000000000004</v>
      </c>
      <c r="G758" t="b">
        <v>0</v>
      </c>
      <c r="H758">
        <f>(Table1[[#This Row],[price]]*Table1[[#This Row],[units_sold]])</f>
        <v>77493.210000000006</v>
      </c>
      <c r="I758" t="str">
        <f>IF(Table1[[#This Row],[in_stock]]=TRUE,"Available","Out of stock")</f>
        <v>Out of stock</v>
      </c>
      <c r="J758" t="str">
        <f>IF(Table1[[#This Row],[rating]]&gt;=4,"High",IF(Table1[[#This Row],[rating]]&gt;=2.5,"Medium","Low"))</f>
        <v>High</v>
      </c>
      <c r="K758" t="str">
        <f>IF(Table1[[#This Row],[price]]&lt;200,"Budget",IF(Table1[[#This Row],[price]]&lt;600,"Mid-Range",IF(Table1[[#This Row],[price]]&lt;1000,"Premium","Luxury")))</f>
        <v>Budget</v>
      </c>
      <c r="L758" t="str">
        <f>IF(Table1[[#This Row],[units_sold]]&lt;50,"Very Low",IF(Table1[[#This Row],[units_sold]]&lt;150,"Low",IF(Table1[[#This Row],[units_sold]]&lt;300,"Medium","High")))</f>
        <v>High</v>
      </c>
      <c r="M758" t="str">
        <f t="shared" si="23"/>
        <v>High Demand - Out of Stock</v>
      </c>
      <c r="N758">
        <f>(Table1[[#This Row],[price]]*0.7)</f>
        <v>124.131</v>
      </c>
    </row>
    <row r="759" spans="1:14" x14ac:dyDescent="0.35">
      <c r="A759" t="str">
        <f t="shared" si="22"/>
        <v>P758</v>
      </c>
      <c r="B759" t="s">
        <v>12</v>
      </c>
      <c r="C759" t="s">
        <v>7</v>
      </c>
      <c r="D759">
        <v>13.85</v>
      </c>
      <c r="E759">
        <v>302</v>
      </c>
      <c r="F759">
        <v>2</v>
      </c>
      <c r="G759" t="b">
        <v>1</v>
      </c>
      <c r="H759">
        <f>(Table1[[#This Row],[price]]*Table1[[#This Row],[units_sold]])</f>
        <v>4182.7</v>
      </c>
      <c r="I759" t="str">
        <f>IF(Table1[[#This Row],[in_stock]]=TRUE,"Available","Out of stock")</f>
        <v>Available</v>
      </c>
      <c r="J759" t="str">
        <f>IF(Table1[[#This Row],[rating]]&gt;=4,"High",IF(Table1[[#This Row],[rating]]&gt;=2.5,"Medium","Low"))</f>
        <v>Low</v>
      </c>
      <c r="K759" t="str">
        <f>IF(Table1[[#This Row],[price]]&lt;200,"Budget",IF(Table1[[#This Row],[price]]&lt;600,"Mid-Range",IF(Table1[[#This Row],[price]]&lt;1000,"Premium","Luxury")))</f>
        <v>Budget</v>
      </c>
      <c r="L759" t="str">
        <f>IF(Table1[[#This Row],[units_sold]]&lt;50,"Very Low",IF(Table1[[#This Row],[units_sold]]&lt;150,"Low",IF(Table1[[#This Row],[units_sold]]&lt;300,"Medium","High")))</f>
        <v>High</v>
      </c>
      <c r="M759" t="str">
        <f t="shared" si="23"/>
        <v>Normal</v>
      </c>
      <c r="N759">
        <f>(Table1[[#This Row],[price]]*0.7)</f>
        <v>9.6949999999999985</v>
      </c>
    </row>
    <row r="760" spans="1:14" x14ac:dyDescent="0.35">
      <c r="A760" t="str">
        <f t="shared" si="22"/>
        <v>P759</v>
      </c>
      <c r="B760" t="s">
        <v>8</v>
      </c>
      <c r="C760" t="s">
        <v>9</v>
      </c>
      <c r="D760">
        <v>960.6</v>
      </c>
      <c r="E760">
        <v>142</v>
      </c>
      <c r="F760">
        <v>3.7</v>
      </c>
      <c r="G760" t="b">
        <v>0</v>
      </c>
      <c r="H760">
        <f>(Table1[[#This Row],[price]]*Table1[[#This Row],[units_sold]])</f>
        <v>136405.20000000001</v>
      </c>
      <c r="I760" t="str">
        <f>IF(Table1[[#This Row],[in_stock]]=TRUE,"Available","Out of stock")</f>
        <v>Out of stock</v>
      </c>
      <c r="J760" t="str">
        <f>IF(Table1[[#This Row],[rating]]&gt;=4,"High",IF(Table1[[#This Row],[rating]]&gt;=2.5,"Medium","Low"))</f>
        <v>Medium</v>
      </c>
      <c r="K760" t="str">
        <f>IF(Table1[[#This Row],[price]]&lt;200,"Budget",IF(Table1[[#This Row],[price]]&lt;600,"Mid-Range",IF(Table1[[#This Row],[price]]&lt;1000,"Premium","Luxury")))</f>
        <v>Premium</v>
      </c>
      <c r="L760" t="str">
        <f>IF(Table1[[#This Row],[units_sold]]&lt;50,"Very Low",IF(Table1[[#This Row],[units_sold]]&lt;150,"Low",IF(Table1[[#This Row],[units_sold]]&lt;300,"Medium","High")))</f>
        <v>Low</v>
      </c>
      <c r="M760" t="str">
        <f t="shared" si="23"/>
        <v>Normal</v>
      </c>
      <c r="N760">
        <f>(Table1[[#This Row],[price]]*0.7)</f>
        <v>672.42</v>
      </c>
    </row>
    <row r="761" spans="1:14" x14ac:dyDescent="0.35">
      <c r="A761" t="str">
        <f t="shared" si="22"/>
        <v>P760</v>
      </c>
      <c r="B761" t="s">
        <v>10</v>
      </c>
      <c r="C761" t="s">
        <v>9</v>
      </c>
      <c r="D761">
        <v>777.61</v>
      </c>
      <c r="E761">
        <v>484</v>
      </c>
      <c r="F761">
        <v>3.8</v>
      </c>
      <c r="G761" t="b">
        <v>1</v>
      </c>
      <c r="H761">
        <f>(Table1[[#This Row],[price]]*Table1[[#This Row],[units_sold]])</f>
        <v>376363.24</v>
      </c>
      <c r="I761" t="str">
        <f>IF(Table1[[#This Row],[in_stock]]=TRUE,"Available","Out of stock")</f>
        <v>Available</v>
      </c>
      <c r="J761" t="str">
        <f>IF(Table1[[#This Row],[rating]]&gt;=4,"High",IF(Table1[[#This Row],[rating]]&gt;=2.5,"Medium","Low"))</f>
        <v>Medium</v>
      </c>
      <c r="K761" t="str">
        <f>IF(Table1[[#This Row],[price]]&lt;200,"Budget",IF(Table1[[#This Row],[price]]&lt;600,"Mid-Range",IF(Table1[[#This Row],[price]]&lt;1000,"Premium","Luxury")))</f>
        <v>Premium</v>
      </c>
      <c r="L761" t="str">
        <f>IF(Table1[[#This Row],[units_sold]]&lt;50,"Very Low",IF(Table1[[#This Row],[units_sold]]&lt;150,"Low",IF(Table1[[#This Row],[units_sold]]&lt;300,"Medium","High")))</f>
        <v>High</v>
      </c>
      <c r="M761" t="str">
        <f t="shared" si="23"/>
        <v>Normal</v>
      </c>
      <c r="N761">
        <f>(Table1[[#This Row],[price]]*0.7)</f>
        <v>544.327</v>
      </c>
    </row>
    <row r="762" spans="1:14" x14ac:dyDescent="0.35">
      <c r="A762" t="str">
        <f t="shared" si="22"/>
        <v>P761</v>
      </c>
      <c r="B762" t="s">
        <v>11</v>
      </c>
      <c r="C762" t="s">
        <v>9</v>
      </c>
      <c r="D762">
        <v>894.37</v>
      </c>
      <c r="E762">
        <v>460</v>
      </c>
      <c r="F762">
        <v>3.4</v>
      </c>
      <c r="G762" t="b">
        <v>1</v>
      </c>
      <c r="H762">
        <f>(Table1[[#This Row],[price]]*Table1[[#This Row],[units_sold]])</f>
        <v>411410.2</v>
      </c>
      <c r="I762" t="str">
        <f>IF(Table1[[#This Row],[in_stock]]=TRUE,"Available","Out of stock")</f>
        <v>Available</v>
      </c>
      <c r="J762" t="str">
        <f>IF(Table1[[#This Row],[rating]]&gt;=4,"High",IF(Table1[[#This Row],[rating]]&gt;=2.5,"Medium","Low"))</f>
        <v>Medium</v>
      </c>
      <c r="K762" t="str">
        <f>IF(Table1[[#This Row],[price]]&lt;200,"Budget",IF(Table1[[#This Row],[price]]&lt;600,"Mid-Range",IF(Table1[[#This Row],[price]]&lt;1000,"Premium","Luxury")))</f>
        <v>Premium</v>
      </c>
      <c r="L762" t="str">
        <f>IF(Table1[[#This Row],[units_sold]]&lt;50,"Very Low",IF(Table1[[#This Row],[units_sold]]&lt;150,"Low",IF(Table1[[#This Row],[units_sold]]&lt;300,"Medium","High")))</f>
        <v>High</v>
      </c>
      <c r="M762" t="str">
        <f t="shared" si="23"/>
        <v>Normal</v>
      </c>
      <c r="N762">
        <f>(Table1[[#This Row],[price]]*0.7)</f>
        <v>626.05899999999997</v>
      </c>
    </row>
    <row r="763" spans="1:14" x14ac:dyDescent="0.35">
      <c r="A763" t="str">
        <f t="shared" si="22"/>
        <v>P762</v>
      </c>
      <c r="B763" t="s">
        <v>16</v>
      </c>
      <c r="C763" t="s">
        <v>9</v>
      </c>
      <c r="D763">
        <v>1192.68</v>
      </c>
      <c r="E763">
        <v>401</v>
      </c>
      <c r="F763">
        <v>2.2999999999999998</v>
      </c>
      <c r="G763" t="b">
        <v>1</v>
      </c>
      <c r="H763">
        <f>(Table1[[#This Row],[price]]*Table1[[#This Row],[units_sold]])</f>
        <v>478264.68000000005</v>
      </c>
      <c r="I763" t="str">
        <f>IF(Table1[[#This Row],[in_stock]]=TRUE,"Available","Out of stock")</f>
        <v>Available</v>
      </c>
      <c r="J763" t="str">
        <f>IF(Table1[[#This Row],[rating]]&gt;=4,"High",IF(Table1[[#This Row],[rating]]&gt;=2.5,"Medium","Low"))</f>
        <v>Low</v>
      </c>
      <c r="K763" t="str">
        <f>IF(Table1[[#This Row],[price]]&lt;200,"Budget",IF(Table1[[#This Row],[price]]&lt;600,"Mid-Range",IF(Table1[[#This Row],[price]]&lt;1000,"Premium","Luxury")))</f>
        <v>Luxury</v>
      </c>
      <c r="L763" t="str">
        <f>IF(Table1[[#This Row],[units_sold]]&lt;50,"Very Low",IF(Table1[[#This Row],[units_sold]]&lt;150,"Low",IF(Table1[[#This Row],[units_sold]]&lt;300,"Medium","High")))</f>
        <v>High</v>
      </c>
      <c r="M763" t="str">
        <f t="shared" si="23"/>
        <v>Normal</v>
      </c>
      <c r="N763">
        <f>(Table1[[#This Row],[price]]*0.7)</f>
        <v>834.87599999999998</v>
      </c>
    </row>
    <row r="764" spans="1:14" x14ac:dyDescent="0.35">
      <c r="A764" t="str">
        <f t="shared" si="22"/>
        <v>P763</v>
      </c>
      <c r="B764" t="s">
        <v>10</v>
      </c>
      <c r="C764" t="s">
        <v>9</v>
      </c>
      <c r="D764">
        <v>973.44</v>
      </c>
      <c r="E764">
        <v>39</v>
      </c>
      <c r="F764">
        <v>2.1</v>
      </c>
      <c r="G764" t="b">
        <v>1</v>
      </c>
      <c r="H764">
        <f>(Table1[[#This Row],[price]]*Table1[[#This Row],[units_sold]])</f>
        <v>37964.160000000003</v>
      </c>
      <c r="I764" t="str">
        <f>IF(Table1[[#This Row],[in_stock]]=TRUE,"Available","Out of stock")</f>
        <v>Available</v>
      </c>
      <c r="J764" t="str">
        <f>IF(Table1[[#This Row],[rating]]&gt;=4,"High",IF(Table1[[#This Row],[rating]]&gt;=2.5,"Medium","Low"))</f>
        <v>Low</v>
      </c>
      <c r="K764" t="str">
        <f>IF(Table1[[#This Row],[price]]&lt;200,"Budget",IF(Table1[[#This Row],[price]]&lt;600,"Mid-Range",IF(Table1[[#This Row],[price]]&lt;1000,"Premium","Luxury")))</f>
        <v>Premium</v>
      </c>
      <c r="L764" t="str">
        <f>IF(Table1[[#This Row],[units_sold]]&lt;50,"Very Low",IF(Table1[[#This Row],[units_sold]]&lt;150,"Low",IF(Table1[[#This Row],[units_sold]]&lt;300,"Medium","High")))</f>
        <v>Very Low</v>
      </c>
      <c r="M764" t="str">
        <f t="shared" si="23"/>
        <v>Normal</v>
      </c>
      <c r="N764">
        <f>(Table1[[#This Row],[price]]*0.7)</f>
        <v>681.40800000000002</v>
      </c>
    </row>
    <row r="765" spans="1:14" x14ac:dyDescent="0.35">
      <c r="A765" t="str">
        <f t="shared" si="22"/>
        <v>P764</v>
      </c>
      <c r="B765" t="s">
        <v>8</v>
      </c>
      <c r="C765" t="s">
        <v>9</v>
      </c>
      <c r="D765">
        <v>270.41000000000003</v>
      </c>
      <c r="E765">
        <v>393</v>
      </c>
      <c r="F765">
        <v>3.4</v>
      </c>
      <c r="G765" t="b">
        <v>1</v>
      </c>
      <c r="H765">
        <f>(Table1[[#This Row],[price]]*Table1[[#This Row],[units_sold]])</f>
        <v>106271.13</v>
      </c>
      <c r="I765" t="str">
        <f>IF(Table1[[#This Row],[in_stock]]=TRUE,"Available","Out of stock")</f>
        <v>Available</v>
      </c>
      <c r="J765" t="str">
        <f>IF(Table1[[#This Row],[rating]]&gt;=4,"High",IF(Table1[[#This Row],[rating]]&gt;=2.5,"Medium","Low"))</f>
        <v>Medium</v>
      </c>
      <c r="K765" t="str">
        <f>IF(Table1[[#This Row],[price]]&lt;200,"Budget",IF(Table1[[#This Row],[price]]&lt;600,"Mid-Range",IF(Table1[[#This Row],[price]]&lt;1000,"Premium","Luxury")))</f>
        <v>Mid-Range</v>
      </c>
      <c r="L765" t="str">
        <f>IF(Table1[[#This Row],[units_sold]]&lt;50,"Very Low",IF(Table1[[#This Row],[units_sold]]&lt;150,"Low",IF(Table1[[#This Row],[units_sold]]&lt;300,"Medium","High")))</f>
        <v>High</v>
      </c>
      <c r="M765" t="str">
        <f t="shared" si="23"/>
        <v>Normal</v>
      </c>
      <c r="N765">
        <f>(Table1[[#This Row],[price]]*0.7)</f>
        <v>189.28700000000001</v>
      </c>
    </row>
    <row r="766" spans="1:14" x14ac:dyDescent="0.35">
      <c r="A766" t="str">
        <f t="shared" si="22"/>
        <v>P765</v>
      </c>
      <c r="B766" t="s">
        <v>10</v>
      </c>
      <c r="C766" t="s">
        <v>9</v>
      </c>
      <c r="D766">
        <v>547.54999999999995</v>
      </c>
      <c r="E766">
        <v>355</v>
      </c>
      <c r="F766">
        <v>4.5</v>
      </c>
      <c r="G766" t="b">
        <v>1</v>
      </c>
      <c r="H766">
        <f>(Table1[[#This Row],[price]]*Table1[[#This Row],[units_sold]])</f>
        <v>194380.24999999997</v>
      </c>
      <c r="I766" t="str">
        <f>IF(Table1[[#This Row],[in_stock]]=TRUE,"Available","Out of stock")</f>
        <v>Available</v>
      </c>
      <c r="J766" t="str">
        <f>IF(Table1[[#This Row],[rating]]&gt;=4,"High",IF(Table1[[#This Row],[rating]]&gt;=2.5,"Medium","Low"))</f>
        <v>High</v>
      </c>
      <c r="K766" t="str">
        <f>IF(Table1[[#This Row],[price]]&lt;200,"Budget",IF(Table1[[#This Row],[price]]&lt;600,"Mid-Range",IF(Table1[[#This Row],[price]]&lt;1000,"Premium","Luxury")))</f>
        <v>Mid-Range</v>
      </c>
      <c r="L766" t="str">
        <f>IF(Table1[[#This Row],[units_sold]]&lt;50,"Very Low",IF(Table1[[#This Row],[units_sold]]&lt;150,"Low",IF(Table1[[#This Row],[units_sold]]&lt;300,"Medium","High")))</f>
        <v>High</v>
      </c>
      <c r="M766" t="str">
        <f t="shared" si="23"/>
        <v>Normal</v>
      </c>
      <c r="N766">
        <f>(Table1[[#This Row],[price]]*0.7)</f>
        <v>383.28499999999997</v>
      </c>
    </row>
    <row r="767" spans="1:14" x14ac:dyDescent="0.35">
      <c r="A767" t="str">
        <f t="shared" si="22"/>
        <v>P766</v>
      </c>
      <c r="B767" t="s">
        <v>8</v>
      </c>
      <c r="C767" t="s">
        <v>9</v>
      </c>
      <c r="D767">
        <v>1359.78</v>
      </c>
      <c r="E767">
        <v>252</v>
      </c>
      <c r="F767">
        <v>4.8</v>
      </c>
      <c r="G767" t="b">
        <v>1</v>
      </c>
      <c r="H767">
        <f>(Table1[[#This Row],[price]]*Table1[[#This Row],[units_sold]])</f>
        <v>342664.56</v>
      </c>
      <c r="I767" t="str">
        <f>IF(Table1[[#This Row],[in_stock]]=TRUE,"Available","Out of stock")</f>
        <v>Available</v>
      </c>
      <c r="J767" t="str">
        <f>IF(Table1[[#This Row],[rating]]&gt;=4,"High",IF(Table1[[#This Row],[rating]]&gt;=2.5,"Medium","Low"))</f>
        <v>High</v>
      </c>
      <c r="K767" t="str">
        <f>IF(Table1[[#This Row],[price]]&lt;200,"Budget",IF(Table1[[#This Row],[price]]&lt;600,"Mid-Range",IF(Table1[[#This Row],[price]]&lt;1000,"Premium","Luxury")))</f>
        <v>Luxury</v>
      </c>
      <c r="L767" t="str">
        <f>IF(Table1[[#This Row],[units_sold]]&lt;50,"Very Low",IF(Table1[[#This Row],[units_sold]]&lt;150,"Low",IF(Table1[[#This Row],[units_sold]]&lt;300,"Medium","High")))</f>
        <v>Medium</v>
      </c>
      <c r="M767" t="str">
        <f t="shared" si="23"/>
        <v>Normal</v>
      </c>
      <c r="N767">
        <f>(Table1[[#This Row],[price]]*0.7)</f>
        <v>951.84599999999989</v>
      </c>
    </row>
    <row r="768" spans="1:14" x14ac:dyDescent="0.35">
      <c r="A768" t="str">
        <f t="shared" si="22"/>
        <v>P767</v>
      </c>
      <c r="B768" t="s">
        <v>8</v>
      </c>
      <c r="C768" t="s">
        <v>9</v>
      </c>
      <c r="D768">
        <v>1157.22</v>
      </c>
      <c r="E768">
        <v>333</v>
      </c>
      <c r="F768">
        <v>1.4</v>
      </c>
      <c r="G768" t="b">
        <v>1</v>
      </c>
      <c r="H768">
        <f>(Table1[[#This Row],[price]]*Table1[[#This Row],[units_sold]])</f>
        <v>385354.26</v>
      </c>
      <c r="I768" t="str">
        <f>IF(Table1[[#This Row],[in_stock]]=TRUE,"Available","Out of stock")</f>
        <v>Available</v>
      </c>
      <c r="J768" t="str">
        <f>IF(Table1[[#This Row],[rating]]&gt;=4,"High",IF(Table1[[#This Row],[rating]]&gt;=2.5,"Medium","Low"))</f>
        <v>Low</v>
      </c>
      <c r="K768" t="str">
        <f>IF(Table1[[#This Row],[price]]&lt;200,"Budget",IF(Table1[[#This Row],[price]]&lt;600,"Mid-Range",IF(Table1[[#This Row],[price]]&lt;1000,"Premium","Luxury")))</f>
        <v>Luxury</v>
      </c>
      <c r="L768" t="str">
        <f>IF(Table1[[#This Row],[units_sold]]&lt;50,"Very Low",IF(Table1[[#This Row],[units_sold]]&lt;150,"Low",IF(Table1[[#This Row],[units_sold]]&lt;300,"Medium","High")))</f>
        <v>High</v>
      </c>
      <c r="M768" t="str">
        <f t="shared" si="23"/>
        <v>Normal</v>
      </c>
      <c r="N768">
        <f>(Table1[[#This Row],[price]]*0.7)</f>
        <v>810.05399999999997</v>
      </c>
    </row>
    <row r="769" spans="1:14" x14ac:dyDescent="0.35">
      <c r="A769" t="str">
        <f t="shared" si="22"/>
        <v>P768</v>
      </c>
      <c r="B769" t="s">
        <v>15</v>
      </c>
      <c r="C769" t="s">
        <v>7</v>
      </c>
      <c r="D769">
        <v>839.39</v>
      </c>
      <c r="E769">
        <v>207</v>
      </c>
      <c r="F769">
        <v>1.6</v>
      </c>
      <c r="G769" t="b">
        <v>1</v>
      </c>
      <c r="H769">
        <f>(Table1[[#This Row],[price]]*Table1[[#This Row],[units_sold]])</f>
        <v>173753.73</v>
      </c>
      <c r="I769" t="str">
        <f>IF(Table1[[#This Row],[in_stock]]=TRUE,"Available","Out of stock")</f>
        <v>Available</v>
      </c>
      <c r="J769" t="str">
        <f>IF(Table1[[#This Row],[rating]]&gt;=4,"High",IF(Table1[[#This Row],[rating]]&gt;=2.5,"Medium","Low"))</f>
        <v>Low</v>
      </c>
      <c r="K769" t="str">
        <f>IF(Table1[[#This Row],[price]]&lt;200,"Budget",IF(Table1[[#This Row],[price]]&lt;600,"Mid-Range",IF(Table1[[#This Row],[price]]&lt;1000,"Premium","Luxury")))</f>
        <v>Premium</v>
      </c>
      <c r="L769" t="str">
        <f>IF(Table1[[#This Row],[units_sold]]&lt;50,"Very Low",IF(Table1[[#This Row],[units_sold]]&lt;150,"Low",IF(Table1[[#This Row],[units_sold]]&lt;300,"Medium","High")))</f>
        <v>Medium</v>
      </c>
      <c r="M769" t="str">
        <f t="shared" si="23"/>
        <v>Normal</v>
      </c>
      <c r="N769">
        <f>(Table1[[#This Row],[price]]*0.7)</f>
        <v>587.57299999999998</v>
      </c>
    </row>
    <row r="770" spans="1:14" x14ac:dyDescent="0.35">
      <c r="A770" t="str">
        <f t="shared" ref="A770:A833" si="24">"P"&amp;TEXT(ROW()-1,"000")</f>
        <v>P769</v>
      </c>
      <c r="B770" t="s">
        <v>6</v>
      </c>
      <c r="C770" t="s">
        <v>7</v>
      </c>
      <c r="D770">
        <v>390.91</v>
      </c>
      <c r="E770">
        <v>210</v>
      </c>
      <c r="F770">
        <v>4.8</v>
      </c>
      <c r="G770" t="b">
        <v>1</v>
      </c>
      <c r="H770">
        <f>(Table1[[#This Row],[price]]*Table1[[#This Row],[units_sold]])</f>
        <v>82091.100000000006</v>
      </c>
      <c r="I770" t="str">
        <f>IF(Table1[[#This Row],[in_stock]]=TRUE,"Available","Out of stock")</f>
        <v>Available</v>
      </c>
      <c r="J770" t="str">
        <f>IF(Table1[[#This Row],[rating]]&gt;=4,"High",IF(Table1[[#This Row],[rating]]&gt;=2.5,"Medium","Low"))</f>
        <v>High</v>
      </c>
      <c r="K770" t="str">
        <f>IF(Table1[[#This Row],[price]]&lt;200,"Budget",IF(Table1[[#This Row],[price]]&lt;600,"Mid-Range",IF(Table1[[#This Row],[price]]&lt;1000,"Premium","Luxury")))</f>
        <v>Mid-Range</v>
      </c>
      <c r="L770" t="str">
        <f>IF(Table1[[#This Row],[units_sold]]&lt;50,"Very Low",IF(Table1[[#This Row],[units_sold]]&lt;150,"Low",IF(Table1[[#This Row],[units_sold]]&lt;300,"Medium","High")))</f>
        <v>Medium</v>
      </c>
      <c r="M770" t="str">
        <f t="shared" ref="M770:M833" si="25">IF(AND(E770&gt;300,G770=FALSE),"High Demand - Out of Stock","Normal")</f>
        <v>Normal</v>
      </c>
      <c r="N770">
        <f>(Table1[[#This Row],[price]]*0.7)</f>
        <v>273.637</v>
      </c>
    </row>
    <row r="771" spans="1:14" x14ac:dyDescent="0.35">
      <c r="A771" t="str">
        <f t="shared" si="24"/>
        <v>P770</v>
      </c>
      <c r="B771" t="s">
        <v>16</v>
      </c>
      <c r="C771" t="s">
        <v>9</v>
      </c>
      <c r="D771">
        <v>460.07</v>
      </c>
      <c r="E771">
        <v>115</v>
      </c>
      <c r="F771">
        <v>3.9</v>
      </c>
      <c r="G771" t="b">
        <v>1</v>
      </c>
      <c r="H771">
        <f>(Table1[[#This Row],[price]]*Table1[[#This Row],[units_sold]])</f>
        <v>52908.049999999996</v>
      </c>
      <c r="I771" t="str">
        <f>IF(Table1[[#This Row],[in_stock]]=TRUE,"Available","Out of stock")</f>
        <v>Available</v>
      </c>
      <c r="J771" t="str">
        <f>IF(Table1[[#This Row],[rating]]&gt;=4,"High",IF(Table1[[#This Row],[rating]]&gt;=2.5,"Medium","Low"))</f>
        <v>Medium</v>
      </c>
      <c r="K771" t="str">
        <f>IF(Table1[[#This Row],[price]]&lt;200,"Budget",IF(Table1[[#This Row],[price]]&lt;600,"Mid-Range",IF(Table1[[#This Row],[price]]&lt;1000,"Premium","Luxury")))</f>
        <v>Mid-Range</v>
      </c>
      <c r="L771" t="str">
        <f>IF(Table1[[#This Row],[units_sold]]&lt;50,"Very Low",IF(Table1[[#This Row],[units_sold]]&lt;150,"Low",IF(Table1[[#This Row],[units_sold]]&lt;300,"Medium","High")))</f>
        <v>Low</v>
      </c>
      <c r="M771" t="str">
        <f t="shared" si="25"/>
        <v>Normal</v>
      </c>
      <c r="N771">
        <f>(Table1[[#This Row],[price]]*0.7)</f>
        <v>322.04899999999998</v>
      </c>
    </row>
    <row r="772" spans="1:14" x14ac:dyDescent="0.35">
      <c r="A772" t="str">
        <f t="shared" si="24"/>
        <v>P771</v>
      </c>
      <c r="B772" t="s">
        <v>10</v>
      </c>
      <c r="C772" t="s">
        <v>9</v>
      </c>
      <c r="D772">
        <v>1100.6199999999999</v>
      </c>
      <c r="E772">
        <v>225</v>
      </c>
      <c r="F772">
        <v>4.5</v>
      </c>
      <c r="G772" t="b">
        <v>1</v>
      </c>
      <c r="H772">
        <f>(Table1[[#This Row],[price]]*Table1[[#This Row],[units_sold]])</f>
        <v>247639.49999999997</v>
      </c>
      <c r="I772" t="str">
        <f>IF(Table1[[#This Row],[in_stock]]=TRUE,"Available","Out of stock")</f>
        <v>Available</v>
      </c>
      <c r="J772" t="str">
        <f>IF(Table1[[#This Row],[rating]]&gt;=4,"High",IF(Table1[[#This Row],[rating]]&gt;=2.5,"Medium","Low"))</f>
        <v>High</v>
      </c>
      <c r="K772" t="str">
        <f>IF(Table1[[#This Row],[price]]&lt;200,"Budget",IF(Table1[[#This Row],[price]]&lt;600,"Mid-Range",IF(Table1[[#This Row],[price]]&lt;1000,"Premium","Luxury")))</f>
        <v>Luxury</v>
      </c>
      <c r="L772" t="str">
        <f>IF(Table1[[#This Row],[units_sold]]&lt;50,"Very Low",IF(Table1[[#This Row],[units_sold]]&lt;150,"Low",IF(Table1[[#This Row],[units_sold]]&lt;300,"Medium","High")))</f>
        <v>Medium</v>
      </c>
      <c r="M772" t="str">
        <f t="shared" si="25"/>
        <v>Normal</v>
      </c>
      <c r="N772">
        <f>(Table1[[#This Row],[price]]*0.7)</f>
        <v>770.43399999999986</v>
      </c>
    </row>
    <row r="773" spans="1:14" x14ac:dyDescent="0.35">
      <c r="A773" t="str">
        <f t="shared" si="24"/>
        <v>P772</v>
      </c>
      <c r="B773" t="s">
        <v>17</v>
      </c>
      <c r="C773" t="s">
        <v>7</v>
      </c>
      <c r="D773">
        <v>1278.25</v>
      </c>
      <c r="E773">
        <v>134</v>
      </c>
      <c r="F773">
        <v>1.8</v>
      </c>
      <c r="G773" t="b">
        <v>1</v>
      </c>
      <c r="H773">
        <f>(Table1[[#This Row],[price]]*Table1[[#This Row],[units_sold]])</f>
        <v>171285.5</v>
      </c>
      <c r="I773" t="str">
        <f>IF(Table1[[#This Row],[in_stock]]=TRUE,"Available","Out of stock")</f>
        <v>Available</v>
      </c>
      <c r="J773" t="str">
        <f>IF(Table1[[#This Row],[rating]]&gt;=4,"High",IF(Table1[[#This Row],[rating]]&gt;=2.5,"Medium","Low"))</f>
        <v>Low</v>
      </c>
      <c r="K773" t="str">
        <f>IF(Table1[[#This Row],[price]]&lt;200,"Budget",IF(Table1[[#This Row],[price]]&lt;600,"Mid-Range",IF(Table1[[#This Row],[price]]&lt;1000,"Premium","Luxury")))</f>
        <v>Luxury</v>
      </c>
      <c r="L773" t="str">
        <f>IF(Table1[[#This Row],[units_sold]]&lt;50,"Very Low",IF(Table1[[#This Row],[units_sold]]&lt;150,"Low",IF(Table1[[#This Row],[units_sold]]&lt;300,"Medium","High")))</f>
        <v>Low</v>
      </c>
      <c r="M773" t="str">
        <f t="shared" si="25"/>
        <v>Normal</v>
      </c>
      <c r="N773">
        <f>(Table1[[#This Row],[price]]*0.7)</f>
        <v>894.77499999999998</v>
      </c>
    </row>
    <row r="774" spans="1:14" x14ac:dyDescent="0.35">
      <c r="A774" t="str">
        <f t="shared" si="24"/>
        <v>P773</v>
      </c>
      <c r="B774" t="s">
        <v>16</v>
      </c>
      <c r="C774" t="s">
        <v>9</v>
      </c>
      <c r="D774">
        <v>1010.42</v>
      </c>
      <c r="E774">
        <v>251</v>
      </c>
      <c r="F774">
        <v>3.4</v>
      </c>
      <c r="G774" t="b">
        <v>1</v>
      </c>
      <c r="H774">
        <f>(Table1[[#This Row],[price]]*Table1[[#This Row],[units_sold]])</f>
        <v>253615.41999999998</v>
      </c>
      <c r="I774" t="str">
        <f>IF(Table1[[#This Row],[in_stock]]=TRUE,"Available","Out of stock")</f>
        <v>Available</v>
      </c>
      <c r="J774" t="str">
        <f>IF(Table1[[#This Row],[rating]]&gt;=4,"High",IF(Table1[[#This Row],[rating]]&gt;=2.5,"Medium","Low"))</f>
        <v>Medium</v>
      </c>
      <c r="K774" t="str">
        <f>IF(Table1[[#This Row],[price]]&lt;200,"Budget",IF(Table1[[#This Row],[price]]&lt;600,"Mid-Range",IF(Table1[[#This Row],[price]]&lt;1000,"Premium","Luxury")))</f>
        <v>Luxury</v>
      </c>
      <c r="L774" t="str">
        <f>IF(Table1[[#This Row],[units_sold]]&lt;50,"Very Low",IF(Table1[[#This Row],[units_sold]]&lt;150,"Low",IF(Table1[[#This Row],[units_sold]]&lt;300,"Medium","High")))</f>
        <v>Medium</v>
      </c>
      <c r="M774" t="str">
        <f t="shared" si="25"/>
        <v>Normal</v>
      </c>
      <c r="N774">
        <f>(Table1[[#This Row],[price]]*0.7)</f>
        <v>707.29399999999998</v>
      </c>
    </row>
    <row r="775" spans="1:14" x14ac:dyDescent="0.35">
      <c r="A775" t="str">
        <f t="shared" si="24"/>
        <v>P774</v>
      </c>
      <c r="B775" t="s">
        <v>6</v>
      </c>
      <c r="C775" t="s">
        <v>7</v>
      </c>
      <c r="D775">
        <v>1216.2</v>
      </c>
      <c r="E775">
        <v>219</v>
      </c>
      <c r="F775">
        <v>3.8</v>
      </c>
      <c r="G775" t="b">
        <v>1</v>
      </c>
      <c r="H775">
        <f>(Table1[[#This Row],[price]]*Table1[[#This Row],[units_sold]])</f>
        <v>266347.8</v>
      </c>
      <c r="I775" t="str">
        <f>IF(Table1[[#This Row],[in_stock]]=TRUE,"Available","Out of stock")</f>
        <v>Available</v>
      </c>
      <c r="J775" t="str">
        <f>IF(Table1[[#This Row],[rating]]&gt;=4,"High",IF(Table1[[#This Row],[rating]]&gt;=2.5,"Medium","Low"))</f>
        <v>Medium</v>
      </c>
      <c r="K775" t="str">
        <f>IF(Table1[[#This Row],[price]]&lt;200,"Budget",IF(Table1[[#This Row],[price]]&lt;600,"Mid-Range",IF(Table1[[#This Row],[price]]&lt;1000,"Premium","Luxury")))</f>
        <v>Luxury</v>
      </c>
      <c r="L775" t="str">
        <f>IF(Table1[[#This Row],[units_sold]]&lt;50,"Very Low",IF(Table1[[#This Row],[units_sold]]&lt;150,"Low",IF(Table1[[#This Row],[units_sold]]&lt;300,"Medium","High")))</f>
        <v>Medium</v>
      </c>
      <c r="M775" t="str">
        <f t="shared" si="25"/>
        <v>Normal</v>
      </c>
      <c r="N775">
        <f>(Table1[[#This Row],[price]]*0.7)</f>
        <v>851.34</v>
      </c>
    </row>
    <row r="776" spans="1:14" x14ac:dyDescent="0.35">
      <c r="A776" t="str">
        <f t="shared" si="24"/>
        <v>P775</v>
      </c>
      <c r="B776" t="s">
        <v>16</v>
      </c>
      <c r="C776" t="s">
        <v>9</v>
      </c>
      <c r="D776">
        <v>1152.32</v>
      </c>
      <c r="E776">
        <v>407</v>
      </c>
      <c r="F776">
        <v>3.7</v>
      </c>
      <c r="G776" t="b">
        <v>1</v>
      </c>
      <c r="H776">
        <f>(Table1[[#This Row],[price]]*Table1[[#This Row],[units_sold]])</f>
        <v>468994.24</v>
      </c>
      <c r="I776" t="str">
        <f>IF(Table1[[#This Row],[in_stock]]=TRUE,"Available","Out of stock")</f>
        <v>Available</v>
      </c>
      <c r="J776" t="str">
        <f>IF(Table1[[#This Row],[rating]]&gt;=4,"High",IF(Table1[[#This Row],[rating]]&gt;=2.5,"Medium","Low"))</f>
        <v>Medium</v>
      </c>
      <c r="K776" t="str">
        <f>IF(Table1[[#This Row],[price]]&lt;200,"Budget",IF(Table1[[#This Row],[price]]&lt;600,"Mid-Range",IF(Table1[[#This Row],[price]]&lt;1000,"Premium","Luxury")))</f>
        <v>Luxury</v>
      </c>
      <c r="L776" t="str">
        <f>IF(Table1[[#This Row],[units_sold]]&lt;50,"Very Low",IF(Table1[[#This Row],[units_sold]]&lt;150,"Low",IF(Table1[[#This Row],[units_sold]]&lt;300,"Medium","High")))</f>
        <v>High</v>
      </c>
      <c r="M776" t="str">
        <f t="shared" si="25"/>
        <v>Normal</v>
      </c>
      <c r="N776">
        <f>(Table1[[#This Row],[price]]*0.7)</f>
        <v>806.62399999999991</v>
      </c>
    </row>
    <row r="777" spans="1:14" x14ac:dyDescent="0.35">
      <c r="A777" t="str">
        <f t="shared" si="24"/>
        <v>P776</v>
      </c>
      <c r="B777" t="s">
        <v>13</v>
      </c>
      <c r="C777" t="s">
        <v>9</v>
      </c>
      <c r="D777">
        <v>233.06</v>
      </c>
      <c r="E777">
        <v>443</v>
      </c>
      <c r="F777">
        <v>2.6</v>
      </c>
      <c r="G777" t="b">
        <v>1</v>
      </c>
      <c r="H777">
        <f>(Table1[[#This Row],[price]]*Table1[[#This Row],[units_sold]])</f>
        <v>103245.58</v>
      </c>
      <c r="I777" t="str">
        <f>IF(Table1[[#This Row],[in_stock]]=TRUE,"Available","Out of stock")</f>
        <v>Available</v>
      </c>
      <c r="J777" t="str">
        <f>IF(Table1[[#This Row],[rating]]&gt;=4,"High",IF(Table1[[#This Row],[rating]]&gt;=2.5,"Medium","Low"))</f>
        <v>Medium</v>
      </c>
      <c r="K777" t="str">
        <f>IF(Table1[[#This Row],[price]]&lt;200,"Budget",IF(Table1[[#This Row],[price]]&lt;600,"Mid-Range",IF(Table1[[#This Row],[price]]&lt;1000,"Premium","Luxury")))</f>
        <v>Mid-Range</v>
      </c>
      <c r="L777" t="str">
        <f>IF(Table1[[#This Row],[units_sold]]&lt;50,"Very Low",IF(Table1[[#This Row],[units_sold]]&lt;150,"Low",IF(Table1[[#This Row],[units_sold]]&lt;300,"Medium","High")))</f>
        <v>High</v>
      </c>
      <c r="M777" t="str">
        <f t="shared" si="25"/>
        <v>Normal</v>
      </c>
      <c r="N777">
        <f>(Table1[[#This Row],[price]]*0.7)</f>
        <v>163.142</v>
      </c>
    </row>
    <row r="778" spans="1:14" x14ac:dyDescent="0.35">
      <c r="A778" t="str">
        <f t="shared" si="24"/>
        <v>P777</v>
      </c>
      <c r="B778" t="s">
        <v>17</v>
      </c>
      <c r="C778" t="s">
        <v>7</v>
      </c>
      <c r="D778">
        <v>641.67999999999995</v>
      </c>
      <c r="E778">
        <v>91</v>
      </c>
      <c r="F778">
        <v>1.1000000000000001</v>
      </c>
      <c r="G778" t="b">
        <v>1</v>
      </c>
      <c r="H778">
        <f>(Table1[[#This Row],[price]]*Table1[[#This Row],[units_sold]])</f>
        <v>58392.88</v>
      </c>
      <c r="I778" t="str">
        <f>IF(Table1[[#This Row],[in_stock]]=TRUE,"Available","Out of stock")</f>
        <v>Available</v>
      </c>
      <c r="J778" t="str">
        <f>IF(Table1[[#This Row],[rating]]&gt;=4,"High",IF(Table1[[#This Row],[rating]]&gt;=2.5,"Medium","Low"))</f>
        <v>Low</v>
      </c>
      <c r="K778" t="str">
        <f>IF(Table1[[#This Row],[price]]&lt;200,"Budget",IF(Table1[[#This Row],[price]]&lt;600,"Mid-Range",IF(Table1[[#This Row],[price]]&lt;1000,"Premium","Luxury")))</f>
        <v>Premium</v>
      </c>
      <c r="L778" t="str">
        <f>IF(Table1[[#This Row],[units_sold]]&lt;50,"Very Low",IF(Table1[[#This Row],[units_sold]]&lt;150,"Low",IF(Table1[[#This Row],[units_sold]]&lt;300,"Medium","High")))</f>
        <v>Low</v>
      </c>
      <c r="M778" t="str">
        <f t="shared" si="25"/>
        <v>Normal</v>
      </c>
      <c r="N778">
        <f>(Table1[[#This Row],[price]]*0.7)</f>
        <v>449.17599999999993</v>
      </c>
    </row>
    <row r="779" spans="1:14" x14ac:dyDescent="0.35">
      <c r="A779" t="str">
        <f t="shared" si="24"/>
        <v>P778</v>
      </c>
      <c r="B779" t="s">
        <v>6</v>
      </c>
      <c r="C779" t="s">
        <v>7</v>
      </c>
      <c r="D779">
        <v>237.95</v>
      </c>
      <c r="E779">
        <v>354</v>
      </c>
      <c r="F779">
        <v>3.3</v>
      </c>
      <c r="G779" t="b">
        <v>0</v>
      </c>
      <c r="H779">
        <f>(Table1[[#This Row],[price]]*Table1[[#This Row],[units_sold]])</f>
        <v>84234.3</v>
      </c>
      <c r="I779" t="str">
        <f>IF(Table1[[#This Row],[in_stock]]=TRUE,"Available","Out of stock")</f>
        <v>Out of stock</v>
      </c>
      <c r="J779" t="str">
        <f>IF(Table1[[#This Row],[rating]]&gt;=4,"High",IF(Table1[[#This Row],[rating]]&gt;=2.5,"Medium","Low"))</f>
        <v>Medium</v>
      </c>
      <c r="K779" t="str">
        <f>IF(Table1[[#This Row],[price]]&lt;200,"Budget",IF(Table1[[#This Row],[price]]&lt;600,"Mid-Range",IF(Table1[[#This Row],[price]]&lt;1000,"Premium","Luxury")))</f>
        <v>Mid-Range</v>
      </c>
      <c r="L779" t="str">
        <f>IF(Table1[[#This Row],[units_sold]]&lt;50,"Very Low",IF(Table1[[#This Row],[units_sold]]&lt;150,"Low",IF(Table1[[#This Row],[units_sold]]&lt;300,"Medium","High")))</f>
        <v>High</v>
      </c>
      <c r="M779" t="str">
        <f t="shared" si="25"/>
        <v>High Demand - Out of Stock</v>
      </c>
      <c r="N779">
        <f>(Table1[[#This Row],[price]]*0.7)</f>
        <v>166.56499999999997</v>
      </c>
    </row>
    <row r="780" spans="1:14" x14ac:dyDescent="0.35">
      <c r="A780" t="str">
        <f t="shared" si="24"/>
        <v>P779</v>
      </c>
      <c r="B780" t="s">
        <v>15</v>
      </c>
      <c r="C780" t="s">
        <v>7</v>
      </c>
      <c r="D780">
        <v>360.5</v>
      </c>
      <c r="E780">
        <v>376</v>
      </c>
      <c r="F780">
        <v>2</v>
      </c>
      <c r="G780" t="b">
        <v>1</v>
      </c>
      <c r="H780">
        <f>(Table1[[#This Row],[price]]*Table1[[#This Row],[units_sold]])</f>
        <v>135548</v>
      </c>
      <c r="I780" t="str">
        <f>IF(Table1[[#This Row],[in_stock]]=TRUE,"Available","Out of stock")</f>
        <v>Available</v>
      </c>
      <c r="J780" t="str">
        <f>IF(Table1[[#This Row],[rating]]&gt;=4,"High",IF(Table1[[#This Row],[rating]]&gt;=2.5,"Medium","Low"))</f>
        <v>Low</v>
      </c>
      <c r="K780" t="str">
        <f>IF(Table1[[#This Row],[price]]&lt;200,"Budget",IF(Table1[[#This Row],[price]]&lt;600,"Mid-Range",IF(Table1[[#This Row],[price]]&lt;1000,"Premium","Luxury")))</f>
        <v>Mid-Range</v>
      </c>
      <c r="L780" t="str">
        <f>IF(Table1[[#This Row],[units_sold]]&lt;50,"Very Low",IF(Table1[[#This Row],[units_sold]]&lt;150,"Low",IF(Table1[[#This Row],[units_sold]]&lt;300,"Medium","High")))</f>
        <v>High</v>
      </c>
      <c r="M780" t="str">
        <f t="shared" si="25"/>
        <v>Normal</v>
      </c>
      <c r="N780">
        <f>(Table1[[#This Row],[price]]*0.7)</f>
        <v>252.35</v>
      </c>
    </row>
    <row r="781" spans="1:14" x14ac:dyDescent="0.35">
      <c r="A781" t="str">
        <f t="shared" si="24"/>
        <v>P780</v>
      </c>
      <c r="B781" t="s">
        <v>10</v>
      </c>
      <c r="C781" t="s">
        <v>9</v>
      </c>
      <c r="D781">
        <v>1305.2</v>
      </c>
      <c r="E781">
        <v>46</v>
      </c>
      <c r="F781">
        <v>2.8</v>
      </c>
      <c r="G781" t="b">
        <v>1</v>
      </c>
      <c r="H781">
        <f>(Table1[[#This Row],[price]]*Table1[[#This Row],[units_sold]])</f>
        <v>60039.200000000004</v>
      </c>
      <c r="I781" t="str">
        <f>IF(Table1[[#This Row],[in_stock]]=TRUE,"Available","Out of stock")</f>
        <v>Available</v>
      </c>
      <c r="J781" t="str">
        <f>IF(Table1[[#This Row],[rating]]&gt;=4,"High",IF(Table1[[#This Row],[rating]]&gt;=2.5,"Medium","Low"))</f>
        <v>Medium</v>
      </c>
      <c r="K781" t="str">
        <f>IF(Table1[[#This Row],[price]]&lt;200,"Budget",IF(Table1[[#This Row],[price]]&lt;600,"Mid-Range",IF(Table1[[#This Row],[price]]&lt;1000,"Premium","Luxury")))</f>
        <v>Luxury</v>
      </c>
      <c r="L781" t="str">
        <f>IF(Table1[[#This Row],[units_sold]]&lt;50,"Very Low",IF(Table1[[#This Row],[units_sold]]&lt;150,"Low",IF(Table1[[#This Row],[units_sold]]&lt;300,"Medium","High")))</f>
        <v>Very Low</v>
      </c>
      <c r="M781" t="str">
        <f t="shared" si="25"/>
        <v>Normal</v>
      </c>
      <c r="N781">
        <f>(Table1[[#This Row],[price]]*0.7)</f>
        <v>913.64</v>
      </c>
    </row>
    <row r="782" spans="1:14" x14ac:dyDescent="0.35">
      <c r="A782" t="str">
        <f t="shared" si="24"/>
        <v>P781</v>
      </c>
      <c r="B782" t="s">
        <v>14</v>
      </c>
      <c r="C782" t="s">
        <v>9</v>
      </c>
      <c r="D782">
        <v>714.61</v>
      </c>
      <c r="E782">
        <v>38</v>
      </c>
      <c r="F782">
        <v>4.8</v>
      </c>
      <c r="G782" t="b">
        <v>1</v>
      </c>
      <c r="H782">
        <f>(Table1[[#This Row],[price]]*Table1[[#This Row],[units_sold]])</f>
        <v>27155.18</v>
      </c>
      <c r="I782" t="str">
        <f>IF(Table1[[#This Row],[in_stock]]=TRUE,"Available","Out of stock")</f>
        <v>Available</v>
      </c>
      <c r="J782" t="str">
        <f>IF(Table1[[#This Row],[rating]]&gt;=4,"High",IF(Table1[[#This Row],[rating]]&gt;=2.5,"Medium","Low"))</f>
        <v>High</v>
      </c>
      <c r="K782" t="str">
        <f>IF(Table1[[#This Row],[price]]&lt;200,"Budget",IF(Table1[[#This Row],[price]]&lt;600,"Mid-Range",IF(Table1[[#This Row],[price]]&lt;1000,"Premium","Luxury")))</f>
        <v>Premium</v>
      </c>
      <c r="L782" t="str">
        <f>IF(Table1[[#This Row],[units_sold]]&lt;50,"Very Low",IF(Table1[[#This Row],[units_sold]]&lt;150,"Low",IF(Table1[[#This Row],[units_sold]]&lt;300,"Medium","High")))</f>
        <v>Very Low</v>
      </c>
      <c r="M782" t="str">
        <f t="shared" si="25"/>
        <v>Normal</v>
      </c>
      <c r="N782">
        <f>(Table1[[#This Row],[price]]*0.7)</f>
        <v>500.22699999999998</v>
      </c>
    </row>
    <row r="783" spans="1:14" x14ac:dyDescent="0.35">
      <c r="A783" t="str">
        <f t="shared" si="24"/>
        <v>P782</v>
      </c>
      <c r="B783" t="s">
        <v>6</v>
      </c>
      <c r="C783" t="s">
        <v>7</v>
      </c>
      <c r="D783">
        <v>807.68</v>
      </c>
      <c r="E783">
        <v>142</v>
      </c>
      <c r="F783">
        <v>2.6</v>
      </c>
      <c r="G783" t="b">
        <v>1</v>
      </c>
      <c r="H783">
        <f>(Table1[[#This Row],[price]]*Table1[[#This Row],[units_sold]])</f>
        <v>114690.56</v>
      </c>
      <c r="I783" t="str">
        <f>IF(Table1[[#This Row],[in_stock]]=TRUE,"Available","Out of stock")</f>
        <v>Available</v>
      </c>
      <c r="J783" t="str">
        <f>IF(Table1[[#This Row],[rating]]&gt;=4,"High",IF(Table1[[#This Row],[rating]]&gt;=2.5,"Medium","Low"))</f>
        <v>Medium</v>
      </c>
      <c r="K783" t="str">
        <f>IF(Table1[[#This Row],[price]]&lt;200,"Budget",IF(Table1[[#This Row],[price]]&lt;600,"Mid-Range",IF(Table1[[#This Row],[price]]&lt;1000,"Premium","Luxury")))</f>
        <v>Premium</v>
      </c>
      <c r="L783" t="str">
        <f>IF(Table1[[#This Row],[units_sold]]&lt;50,"Very Low",IF(Table1[[#This Row],[units_sold]]&lt;150,"Low",IF(Table1[[#This Row],[units_sold]]&lt;300,"Medium","High")))</f>
        <v>Low</v>
      </c>
      <c r="M783" t="str">
        <f t="shared" si="25"/>
        <v>Normal</v>
      </c>
      <c r="N783">
        <f>(Table1[[#This Row],[price]]*0.7)</f>
        <v>565.37599999999998</v>
      </c>
    </row>
    <row r="784" spans="1:14" x14ac:dyDescent="0.35">
      <c r="A784" t="str">
        <f t="shared" si="24"/>
        <v>P783</v>
      </c>
      <c r="B784" t="s">
        <v>11</v>
      </c>
      <c r="C784" t="s">
        <v>9</v>
      </c>
      <c r="D784">
        <v>275.88</v>
      </c>
      <c r="E784">
        <v>100</v>
      </c>
      <c r="F784">
        <v>4.4000000000000004</v>
      </c>
      <c r="G784" t="b">
        <v>0</v>
      </c>
      <c r="H784">
        <f>(Table1[[#This Row],[price]]*Table1[[#This Row],[units_sold]])</f>
        <v>27588</v>
      </c>
      <c r="I784" t="str">
        <f>IF(Table1[[#This Row],[in_stock]]=TRUE,"Available","Out of stock")</f>
        <v>Out of stock</v>
      </c>
      <c r="J784" t="str">
        <f>IF(Table1[[#This Row],[rating]]&gt;=4,"High",IF(Table1[[#This Row],[rating]]&gt;=2.5,"Medium","Low"))</f>
        <v>High</v>
      </c>
      <c r="K784" t="str">
        <f>IF(Table1[[#This Row],[price]]&lt;200,"Budget",IF(Table1[[#This Row],[price]]&lt;600,"Mid-Range",IF(Table1[[#This Row],[price]]&lt;1000,"Premium","Luxury")))</f>
        <v>Mid-Range</v>
      </c>
      <c r="L784" t="str">
        <f>IF(Table1[[#This Row],[units_sold]]&lt;50,"Very Low",IF(Table1[[#This Row],[units_sold]]&lt;150,"Low",IF(Table1[[#This Row],[units_sold]]&lt;300,"Medium","High")))</f>
        <v>Low</v>
      </c>
      <c r="M784" t="str">
        <f t="shared" si="25"/>
        <v>Normal</v>
      </c>
      <c r="N784">
        <f>(Table1[[#This Row],[price]]*0.7)</f>
        <v>193.11599999999999</v>
      </c>
    </row>
    <row r="785" spans="1:14" x14ac:dyDescent="0.35">
      <c r="A785" t="str">
        <f t="shared" si="24"/>
        <v>P784</v>
      </c>
      <c r="B785" t="s">
        <v>10</v>
      </c>
      <c r="C785" t="s">
        <v>9</v>
      </c>
      <c r="D785">
        <v>475.28</v>
      </c>
      <c r="E785">
        <v>328</v>
      </c>
      <c r="F785">
        <v>1.8</v>
      </c>
      <c r="G785" t="b">
        <v>1</v>
      </c>
      <c r="H785">
        <f>(Table1[[#This Row],[price]]*Table1[[#This Row],[units_sold]])</f>
        <v>155891.84</v>
      </c>
      <c r="I785" t="str">
        <f>IF(Table1[[#This Row],[in_stock]]=TRUE,"Available","Out of stock")</f>
        <v>Available</v>
      </c>
      <c r="J785" t="str">
        <f>IF(Table1[[#This Row],[rating]]&gt;=4,"High",IF(Table1[[#This Row],[rating]]&gt;=2.5,"Medium","Low"))</f>
        <v>Low</v>
      </c>
      <c r="K785" t="str">
        <f>IF(Table1[[#This Row],[price]]&lt;200,"Budget",IF(Table1[[#This Row],[price]]&lt;600,"Mid-Range",IF(Table1[[#This Row],[price]]&lt;1000,"Premium","Luxury")))</f>
        <v>Mid-Range</v>
      </c>
      <c r="L785" t="str">
        <f>IF(Table1[[#This Row],[units_sold]]&lt;50,"Very Low",IF(Table1[[#This Row],[units_sold]]&lt;150,"Low",IF(Table1[[#This Row],[units_sold]]&lt;300,"Medium","High")))</f>
        <v>High</v>
      </c>
      <c r="M785" t="str">
        <f t="shared" si="25"/>
        <v>Normal</v>
      </c>
      <c r="N785">
        <f>(Table1[[#This Row],[price]]*0.7)</f>
        <v>332.69599999999997</v>
      </c>
    </row>
    <row r="786" spans="1:14" x14ac:dyDescent="0.35">
      <c r="A786" t="str">
        <f t="shared" si="24"/>
        <v>P785</v>
      </c>
      <c r="B786" t="s">
        <v>6</v>
      </c>
      <c r="C786" t="s">
        <v>7</v>
      </c>
      <c r="D786">
        <v>353.07</v>
      </c>
      <c r="E786">
        <v>190</v>
      </c>
      <c r="F786">
        <v>3.7</v>
      </c>
      <c r="G786" t="b">
        <v>1</v>
      </c>
      <c r="H786">
        <f>(Table1[[#This Row],[price]]*Table1[[#This Row],[units_sold]])</f>
        <v>67083.3</v>
      </c>
      <c r="I786" t="str">
        <f>IF(Table1[[#This Row],[in_stock]]=TRUE,"Available","Out of stock")</f>
        <v>Available</v>
      </c>
      <c r="J786" t="str">
        <f>IF(Table1[[#This Row],[rating]]&gt;=4,"High",IF(Table1[[#This Row],[rating]]&gt;=2.5,"Medium","Low"))</f>
        <v>Medium</v>
      </c>
      <c r="K786" t="str">
        <f>IF(Table1[[#This Row],[price]]&lt;200,"Budget",IF(Table1[[#This Row],[price]]&lt;600,"Mid-Range",IF(Table1[[#This Row],[price]]&lt;1000,"Premium","Luxury")))</f>
        <v>Mid-Range</v>
      </c>
      <c r="L786" t="str">
        <f>IF(Table1[[#This Row],[units_sold]]&lt;50,"Very Low",IF(Table1[[#This Row],[units_sold]]&lt;150,"Low",IF(Table1[[#This Row],[units_sold]]&lt;300,"Medium","High")))</f>
        <v>Medium</v>
      </c>
      <c r="M786" t="str">
        <f t="shared" si="25"/>
        <v>Normal</v>
      </c>
      <c r="N786">
        <f>(Table1[[#This Row],[price]]*0.7)</f>
        <v>247.14899999999997</v>
      </c>
    </row>
    <row r="787" spans="1:14" x14ac:dyDescent="0.35">
      <c r="A787" t="str">
        <f t="shared" si="24"/>
        <v>P786</v>
      </c>
      <c r="B787" t="s">
        <v>13</v>
      </c>
      <c r="C787" t="s">
        <v>9</v>
      </c>
      <c r="D787">
        <v>317.22000000000003</v>
      </c>
      <c r="E787">
        <v>35</v>
      </c>
      <c r="F787">
        <v>4.9000000000000004</v>
      </c>
      <c r="G787" t="b">
        <v>1</v>
      </c>
      <c r="H787">
        <f>(Table1[[#This Row],[price]]*Table1[[#This Row],[units_sold]])</f>
        <v>11102.7</v>
      </c>
      <c r="I787" t="str">
        <f>IF(Table1[[#This Row],[in_stock]]=TRUE,"Available","Out of stock")</f>
        <v>Available</v>
      </c>
      <c r="J787" t="str">
        <f>IF(Table1[[#This Row],[rating]]&gt;=4,"High",IF(Table1[[#This Row],[rating]]&gt;=2.5,"Medium","Low"))</f>
        <v>High</v>
      </c>
      <c r="K787" t="str">
        <f>IF(Table1[[#This Row],[price]]&lt;200,"Budget",IF(Table1[[#This Row],[price]]&lt;600,"Mid-Range",IF(Table1[[#This Row],[price]]&lt;1000,"Premium","Luxury")))</f>
        <v>Mid-Range</v>
      </c>
      <c r="L787" t="str">
        <f>IF(Table1[[#This Row],[units_sold]]&lt;50,"Very Low",IF(Table1[[#This Row],[units_sold]]&lt;150,"Low",IF(Table1[[#This Row],[units_sold]]&lt;300,"Medium","High")))</f>
        <v>Very Low</v>
      </c>
      <c r="M787" t="str">
        <f t="shared" si="25"/>
        <v>Normal</v>
      </c>
      <c r="N787">
        <f>(Table1[[#This Row],[price]]*0.7)</f>
        <v>222.054</v>
      </c>
    </row>
    <row r="788" spans="1:14" x14ac:dyDescent="0.35">
      <c r="A788" t="str">
        <f t="shared" si="24"/>
        <v>P787</v>
      </c>
      <c r="B788" t="s">
        <v>14</v>
      </c>
      <c r="C788" t="s">
        <v>9</v>
      </c>
      <c r="D788">
        <v>960.56</v>
      </c>
      <c r="E788">
        <v>147</v>
      </c>
      <c r="F788">
        <v>1.4</v>
      </c>
      <c r="G788" t="b">
        <v>1</v>
      </c>
      <c r="H788">
        <f>(Table1[[#This Row],[price]]*Table1[[#This Row],[units_sold]])</f>
        <v>141202.31999999998</v>
      </c>
      <c r="I788" t="str">
        <f>IF(Table1[[#This Row],[in_stock]]=TRUE,"Available","Out of stock")</f>
        <v>Available</v>
      </c>
      <c r="J788" t="str">
        <f>IF(Table1[[#This Row],[rating]]&gt;=4,"High",IF(Table1[[#This Row],[rating]]&gt;=2.5,"Medium","Low"))</f>
        <v>Low</v>
      </c>
      <c r="K788" t="str">
        <f>IF(Table1[[#This Row],[price]]&lt;200,"Budget",IF(Table1[[#This Row],[price]]&lt;600,"Mid-Range",IF(Table1[[#This Row],[price]]&lt;1000,"Premium","Luxury")))</f>
        <v>Premium</v>
      </c>
      <c r="L788" t="str">
        <f>IF(Table1[[#This Row],[units_sold]]&lt;50,"Very Low",IF(Table1[[#This Row],[units_sold]]&lt;150,"Low",IF(Table1[[#This Row],[units_sold]]&lt;300,"Medium","High")))</f>
        <v>Low</v>
      </c>
      <c r="M788" t="str">
        <f t="shared" si="25"/>
        <v>Normal</v>
      </c>
      <c r="N788">
        <f>(Table1[[#This Row],[price]]*0.7)</f>
        <v>672.39199999999994</v>
      </c>
    </row>
    <row r="789" spans="1:14" x14ac:dyDescent="0.35">
      <c r="A789" t="str">
        <f t="shared" si="24"/>
        <v>P788</v>
      </c>
      <c r="B789" t="s">
        <v>13</v>
      </c>
      <c r="C789" t="s">
        <v>9</v>
      </c>
      <c r="D789">
        <v>392.76</v>
      </c>
      <c r="E789">
        <v>30</v>
      </c>
      <c r="F789">
        <v>1</v>
      </c>
      <c r="G789" t="b">
        <v>1</v>
      </c>
      <c r="H789">
        <f>(Table1[[#This Row],[price]]*Table1[[#This Row],[units_sold]])</f>
        <v>11782.8</v>
      </c>
      <c r="I789" t="str">
        <f>IF(Table1[[#This Row],[in_stock]]=TRUE,"Available","Out of stock")</f>
        <v>Available</v>
      </c>
      <c r="J789" t="str">
        <f>IF(Table1[[#This Row],[rating]]&gt;=4,"High",IF(Table1[[#This Row],[rating]]&gt;=2.5,"Medium","Low"))</f>
        <v>Low</v>
      </c>
      <c r="K789" t="str">
        <f>IF(Table1[[#This Row],[price]]&lt;200,"Budget",IF(Table1[[#This Row],[price]]&lt;600,"Mid-Range",IF(Table1[[#This Row],[price]]&lt;1000,"Premium","Luxury")))</f>
        <v>Mid-Range</v>
      </c>
      <c r="L789" t="str">
        <f>IF(Table1[[#This Row],[units_sold]]&lt;50,"Very Low",IF(Table1[[#This Row],[units_sold]]&lt;150,"Low",IF(Table1[[#This Row],[units_sold]]&lt;300,"Medium","High")))</f>
        <v>Very Low</v>
      </c>
      <c r="M789" t="str">
        <f t="shared" si="25"/>
        <v>Normal</v>
      </c>
      <c r="N789">
        <f>(Table1[[#This Row],[price]]*0.7)</f>
        <v>274.93199999999996</v>
      </c>
    </row>
    <row r="790" spans="1:14" x14ac:dyDescent="0.35">
      <c r="A790" t="str">
        <f t="shared" si="24"/>
        <v>P789</v>
      </c>
      <c r="B790" t="s">
        <v>14</v>
      </c>
      <c r="C790" t="s">
        <v>9</v>
      </c>
      <c r="D790">
        <v>951.7</v>
      </c>
      <c r="E790">
        <v>334</v>
      </c>
      <c r="F790">
        <v>2.7</v>
      </c>
      <c r="G790" t="b">
        <v>1</v>
      </c>
      <c r="H790">
        <f>(Table1[[#This Row],[price]]*Table1[[#This Row],[units_sold]])</f>
        <v>317867.8</v>
      </c>
      <c r="I790" t="str">
        <f>IF(Table1[[#This Row],[in_stock]]=TRUE,"Available","Out of stock")</f>
        <v>Available</v>
      </c>
      <c r="J790" t="str">
        <f>IF(Table1[[#This Row],[rating]]&gt;=4,"High",IF(Table1[[#This Row],[rating]]&gt;=2.5,"Medium","Low"))</f>
        <v>Medium</v>
      </c>
      <c r="K790" t="str">
        <f>IF(Table1[[#This Row],[price]]&lt;200,"Budget",IF(Table1[[#This Row],[price]]&lt;600,"Mid-Range",IF(Table1[[#This Row],[price]]&lt;1000,"Premium","Luxury")))</f>
        <v>Premium</v>
      </c>
      <c r="L790" t="str">
        <f>IF(Table1[[#This Row],[units_sold]]&lt;50,"Very Low",IF(Table1[[#This Row],[units_sold]]&lt;150,"Low",IF(Table1[[#This Row],[units_sold]]&lt;300,"Medium","High")))</f>
        <v>High</v>
      </c>
      <c r="M790" t="str">
        <f t="shared" si="25"/>
        <v>Normal</v>
      </c>
      <c r="N790">
        <f>(Table1[[#This Row],[price]]*0.7)</f>
        <v>666.18999999999994</v>
      </c>
    </row>
    <row r="791" spans="1:14" x14ac:dyDescent="0.35">
      <c r="A791" t="str">
        <f t="shared" si="24"/>
        <v>P790</v>
      </c>
      <c r="B791" t="s">
        <v>11</v>
      </c>
      <c r="C791" t="s">
        <v>9</v>
      </c>
      <c r="D791">
        <v>97.1</v>
      </c>
      <c r="E791">
        <v>84</v>
      </c>
      <c r="F791">
        <v>1.4</v>
      </c>
      <c r="G791" t="b">
        <v>1</v>
      </c>
      <c r="H791">
        <f>(Table1[[#This Row],[price]]*Table1[[#This Row],[units_sold]])</f>
        <v>8156.4</v>
      </c>
      <c r="I791" t="str">
        <f>IF(Table1[[#This Row],[in_stock]]=TRUE,"Available","Out of stock")</f>
        <v>Available</v>
      </c>
      <c r="J791" t="str">
        <f>IF(Table1[[#This Row],[rating]]&gt;=4,"High",IF(Table1[[#This Row],[rating]]&gt;=2.5,"Medium","Low"))</f>
        <v>Low</v>
      </c>
      <c r="K791" t="str">
        <f>IF(Table1[[#This Row],[price]]&lt;200,"Budget",IF(Table1[[#This Row],[price]]&lt;600,"Mid-Range",IF(Table1[[#This Row],[price]]&lt;1000,"Premium","Luxury")))</f>
        <v>Budget</v>
      </c>
      <c r="L791" t="str">
        <f>IF(Table1[[#This Row],[units_sold]]&lt;50,"Very Low",IF(Table1[[#This Row],[units_sold]]&lt;150,"Low",IF(Table1[[#This Row],[units_sold]]&lt;300,"Medium","High")))</f>
        <v>Low</v>
      </c>
      <c r="M791" t="str">
        <f t="shared" si="25"/>
        <v>Normal</v>
      </c>
      <c r="N791">
        <f>(Table1[[#This Row],[price]]*0.7)</f>
        <v>67.969999999999985</v>
      </c>
    </row>
    <row r="792" spans="1:14" x14ac:dyDescent="0.35">
      <c r="A792" t="str">
        <f t="shared" si="24"/>
        <v>P791</v>
      </c>
      <c r="B792" t="s">
        <v>10</v>
      </c>
      <c r="C792" t="s">
        <v>9</v>
      </c>
      <c r="D792">
        <v>221.24</v>
      </c>
      <c r="E792">
        <v>369</v>
      </c>
      <c r="F792">
        <v>4</v>
      </c>
      <c r="G792" t="b">
        <v>1</v>
      </c>
      <c r="H792">
        <f>(Table1[[#This Row],[price]]*Table1[[#This Row],[units_sold]])</f>
        <v>81637.56</v>
      </c>
      <c r="I792" t="str">
        <f>IF(Table1[[#This Row],[in_stock]]=TRUE,"Available","Out of stock")</f>
        <v>Available</v>
      </c>
      <c r="J792" t="str">
        <f>IF(Table1[[#This Row],[rating]]&gt;=4,"High",IF(Table1[[#This Row],[rating]]&gt;=2.5,"Medium","Low"))</f>
        <v>High</v>
      </c>
      <c r="K792" t="str">
        <f>IF(Table1[[#This Row],[price]]&lt;200,"Budget",IF(Table1[[#This Row],[price]]&lt;600,"Mid-Range",IF(Table1[[#This Row],[price]]&lt;1000,"Premium","Luxury")))</f>
        <v>Mid-Range</v>
      </c>
      <c r="L792" t="str">
        <f>IF(Table1[[#This Row],[units_sold]]&lt;50,"Very Low",IF(Table1[[#This Row],[units_sold]]&lt;150,"Low",IF(Table1[[#This Row],[units_sold]]&lt;300,"Medium","High")))</f>
        <v>High</v>
      </c>
      <c r="M792" t="str">
        <f t="shared" si="25"/>
        <v>Normal</v>
      </c>
      <c r="N792">
        <f>(Table1[[#This Row],[price]]*0.7)</f>
        <v>154.86799999999999</v>
      </c>
    </row>
    <row r="793" spans="1:14" x14ac:dyDescent="0.35">
      <c r="A793" t="str">
        <f t="shared" si="24"/>
        <v>P792</v>
      </c>
      <c r="B793" t="s">
        <v>15</v>
      </c>
      <c r="C793" t="s">
        <v>7</v>
      </c>
      <c r="D793">
        <v>419.06</v>
      </c>
      <c r="E793">
        <v>281</v>
      </c>
      <c r="F793">
        <v>4.7</v>
      </c>
      <c r="G793" t="b">
        <v>1</v>
      </c>
      <c r="H793">
        <f>(Table1[[#This Row],[price]]*Table1[[#This Row],[units_sold]])</f>
        <v>117755.86</v>
      </c>
      <c r="I793" t="str">
        <f>IF(Table1[[#This Row],[in_stock]]=TRUE,"Available","Out of stock")</f>
        <v>Available</v>
      </c>
      <c r="J793" t="str">
        <f>IF(Table1[[#This Row],[rating]]&gt;=4,"High",IF(Table1[[#This Row],[rating]]&gt;=2.5,"Medium","Low"))</f>
        <v>High</v>
      </c>
      <c r="K793" t="str">
        <f>IF(Table1[[#This Row],[price]]&lt;200,"Budget",IF(Table1[[#This Row],[price]]&lt;600,"Mid-Range",IF(Table1[[#This Row],[price]]&lt;1000,"Premium","Luxury")))</f>
        <v>Mid-Range</v>
      </c>
      <c r="L793" t="str">
        <f>IF(Table1[[#This Row],[units_sold]]&lt;50,"Very Low",IF(Table1[[#This Row],[units_sold]]&lt;150,"Low",IF(Table1[[#This Row],[units_sold]]&lt;300,"Medium","High")))</f>
        <v>Medium</v>
      </c>
      <c r="M793" t="str">
        <f t="shared" si="25"/>
        <v>Normal</v>
      </c>
      <c r="N793">
        <f>(Table1[[#This Row],[price]]*0.7)</f>
        <v>293.34199999999998</v>
      </c>
    </row>
    <row r="794" spans="1:14" x14ac:dyDescent="0.35">
      <c r="A794" t="str">
        <f t="shared" si="24"/>
        <v>P793</v>
      </c>
      <c r="B794" t="s">
        <v>13</v>
      </c>
      <c r="C794" t="s">
        <v>9</v>
      </c>
      <c r="D794">
        <v>899.6</v>
      </c>
      <c r="E794">
        <v>424</v>
      </c>
      <c r="F794">
        <v>2.7</v>
      </c>
      <c r="G794" t="b">
        <v>1</v>
      </c>
      <c r="H794">
        <f>(Table1[[#This Row],[price]]*Table1[[#This Row],[units_sold]])</f>
        <v>381430.4</v>
      </c>
      <c r="I794" t="str">
        <f>IF(Table1[[#This Row],[in_stock]]=TRUE,"Available","Out of stock")</f>
        <v>Available</v>
      </c>
      <c r="J794" t="str">
        <f>IF(Table1[[#This Row],[rating]]&gt;=4,"High",IF(Table1[[#This Row],[rating]]&gt;=2.5,"Medium","Low"))</f>
        <v>Medium</v>
      </c>
      <c r="K794" t="str">
        <f>IF(Table1[[#This Row],[price]]&lt;200,"Budget",IF(Table1[[#This Row],[price]]&lt;600,"Mid-Range",IF(Table1[[#This Row],[price]]&lt;1000,"Premium","Luxury")))</f>
        <v>Premium</v>
      </c>
      <c r="L794" t="str">
        <f>IF(Table1[[#This Row],[units_sold]]&lt;50,"Very Low",IF(Table1[[#This Row],[units_sold]]&lt;150,"Low",IF(Table1[[#This Row],[units_sold]]&lt;300,"Medium","High")))</f>
        <v>High</v>
      </c>
      <c r="M794" t="str">
        <f t="shared" si="25"/>
        <v>Normal</v>
      </c>
      <c r="N794">
        <f>(Table1[[#This Row],[price]]*0.7)</f>
        <v>629.72</v>
      </c>
    </row>
    <row r="795" spans="1:14" x14ac:dyDescent="0.35">
      <c r="A795" t="str">
        <f t="shared" si="24"/>
        <v>P794</v>
      </c>
      <c r="B795" t="s">
        <v>13</v>
      </c>
      <c r="C795" t="s">
        <v>9</v>
      </c>
      <c r="D795">
        <v>1017</v>
      </c>
      <c r="E795">
        <v>344</v>
      </c>
      <c r="F795">
        <v>2</v>
      </c>
      <c r="G795" t="b">
        <v>1</v>
      </c>
      <c r="H795">
        <f>(Table1[[#This Row],[price]]*Table1[[#This Row],[units_sold]])</f>
        <v>349848</v>
      </c>
      <c r="I795" t="str">
        <f>IF(Table1[[#This Row],[in_stock]]=TRUE,"Available","Out of stock")</f>
        <v>Available</v>
      </c>
      <c r="J795" t="str">
        <f>IF(Table1[[#This Row],[rating]]&gt;=4,"High",IF(Table1[[#This Row],[rating]]&gt;=2.5,"Medium","Low"))</f>
        <v>Low</v>
      </c>
      <c r="K795" t="str">
        <f>IF(Table1[[#This Row],[price]]&lt;200,"Budget",IF(Table1[[#This Row],[price]]&lt;600,"Mid-Range",IF(Table1[[#This Row],[price]]&lt;1000,"Premium","Luxury")))</f>
        <v>Luxury</v>
      </c>
      <c r="L795" t="str">
        <f>IF(Table1[[#This Row],[units_sold]]&lt;50,"Very Low",IF(Table1[[#This Row],[units_sold]]&lt;150,"Low",IF(Table1[[#This Row],[units_sold]]&lt;300,"Medium","High")))</f>
        <v>High</v>
      </c>
      <c r="M795" t="str">
        <f t="shared" si="25"/>
        <v>Normal</v>
      </c>
      <c r="N795">
        <f>(Table1[[#This Row],[price]]*0.7)</f>
        <v>711.9</v>
      </c>
    </row>
    <row r="796" spans="1:14" x14ac:dyDescent="0.35">
      <c r="A796" t="str">
        <f t="shared" si="24"/>
        <v>P795</v>
      </c>
      <c r="B796" t="s">
        <v>8</v>
      </c>
      <c r="C796" t="s">
        <v>9</v>
      </c>
      <c r="D796">
        <v>669.65</v>
      </c>
      <c r="E796">
        <v>270</v>
      </c>
      <c r="F796">
        <v>2.7</v>
      </c>
      <c r="G796" t="b">
        <v>1</v>
      </c>
      <c r="H796">
        <f>(Table1[[#This Row],[price]]*Table1[[#This Row],[units_sold]])</f>
        <v>180805.5</v>
      </c>
      <c r="I796" t="str">
        <f>IF(Table1[[#This Row],[in_stock]]=TRUE,"Available","Out of stock")</f>
        <v>Available</v>
      </c>
      <c r="J796" t="str">
        <f>IF(Table1[[#This Row],[rating]]&gt;=4,"High",IF(Table1[[#This Row],[rating]]&gt;=2.5,"Medium","Low"))</f>
        <v>Medium</v>
      </c>
      <c r="K796" t="str">
        <f>IF(Table1[[#This Row],[price]]&lt;200,"Budget",IF(Table1[[#This Row],[price]]&lt;600,"Mid-Range",IF(Table1[[#This Row],[price]]&lt;1000,"Premium","Luxury")))</f>
        <v>Premium</v>
      </c>
      <c r="L796" t="str">
        <f>IF(Table1[[#This Row],[units_sold]]&lt;50,"Very Low",IF(Table1[[#This Row],[units_sold]]&lt;150,"Low",IF(Table1[[#This Row],[units_sold]]&lt;300,"Medium","High")))</f>
        <v>Medium</v>
      </c>
      <c r="M796" t="str">
        <f t="shared" si="25"/>
        <v>Normal</v>
      </c>
      <c r="N796">
        <f>(Table1[[#This Row],[price]]*0.7)</f>
        <v>468.75499999999994</v>
      </c>
    </row>
    <row r="797" spans="1:14" x14ac:dyDescent="0.35">
      <c r="A797" t="str">
        <f t="shared" si="24"/>
        <v>P796</v>
      </c>
      <c r="B797" t="s">
        <v>14</v>
      </c>
      <c r="C797" t="s">
        <v>9</v>
      </c>
      <c r="D797">
        <v>674.23</v>
      </c>
      <c r="E797">
        <v>154</v>
      </c>
      <c r="F797">
        <v>3.9</v>
      </c>
      <c r="G797" t="b">
        <v>0</v>
      </c>
      <c r="H797">
        <f>(Table1[[#This Row],[price]]*Table1[[#This Row],[units_sold]])</f>
        <v>103831.42</v>
      </c>
      <c r="I797" t="str">
        <f>IF(Table1[[#This Row],[in_stock]]=TRUE,"Available","Out of stock")</f>
        <v>Out of stock</v>
      </c>
      <c r="J797" t="str">
        <f>IF(Table1[[#This Row],[rating]]&gt;=4,"High",IF(Table1[[#This Row],[rating]]&gt;=2.5,"Medium","Low"))</f>
        <v>Medium</v>
      </c>
      <c r="K797" t="str">
        <f>IF(Table1[[#This Row],[price]]&lt;200,"Budget",IF(Table1[[#This Row],[price]]&lt;600,"Mid-Range",IF(Table1[[#This Row],[price]]&lt;1000,"Premium","Luxury")))</f>
        <v>Premium</v>
      </c>
      <c r="L797" t="str">
        <f>IF(Table1[[#This Row],[units_sold]]&lt;50,"Very Low",IF(Table1[[#This Row],[units_sold]]&lt;150,"Low",IF(Table1[[#This Row],[units_sold]]&lt;300,"Medium","High")))</f>
        <v>Medium</v>
      </c>
      <c r="M797" t="str">
        <f t="shared" si="25"/>
        <v>Normal</v>
      </c>
      <c r="N797">
        <f>(Table1[[#This Row],[price]]*0.7)</f>
        <v>471.96099999999996</v>
      </c>
    </row>
    <row r="798" spans="1:14" x14ac:dyDescent="0.35">
      <c r="A798" t="str">
        <f t="shared" si="24"/>
        <v>P797</v>
      </c>
      <c r="B798" t="s">
        <v>12</v>
      </c>
      <c r="C798" t="s">
        <v>7</v>
      </c>
      <c r="D798">
        <v>1089.53</v>
      </c>
      <c r="E798">
        <v>102</v>
      </c>
      <c r="F798">
        <v>1</v>
      </c>
      <c r="G798" t="b">
        <v>1</v>
      </c>
      <c r="H798">
        <f>(Table1[[#This Row],[price]]*Table1[[#This Row],[units_sold]])</f>
        <v>111132.06</v>
      </c>
      <c r="I798" t="str">
        <f>IF(Table1[[#This Row],[in_stock]]=TRUE,"Available","Out of stock")</f>
        <v>Available</v>
      </c>
      <c r="J798" t="str">
        <f>IF(Table1[[#This Row],[rating]]&gt;=4,"High",IF(Table1[[#This Row],[rating]]&gt;=2.5,"Medium","Low"))</f>
        <v>Low</v>
      </c>
      <c r="K798" t="str">
        <f>IF(Table1[[#This Row],[price]]&lt;200,"Budget",IF(Table1[[#This Row],[price]]&lt;600,"Mid-Range",IF(Table1[[#This Row],[price]]&lt;1000,"Premium","Luxury")))</f>
        <v>Luxury</v>
      </c>
      <c r="L798" t="str">
        <f>IF(Table1[[#This Row],[units_sold]]&lt;50,"Very Low",IF(Table1[[#This Row],[units_sold]]&lt;150,"Low",IF(Table1[[#This Row],[units_sold]]&lt;300,"Medium","High")))</f>
        <v>Low</v>
      </c>
      <c r="M798" t="str">
        <f t="shared" si="25"/>
        <v>Normal</v>
      </c>
      <c r="N798">
        <f>(Table1[[#This Row],[price]]*0.7)</f>
        <v>762.67099999999994</v>
      </c>
    </row>
    <row r="799" spans="1:14" x14ac:dyDescent="0.35">
      <c r="A799" t="str">
        <f t="shared" si="24"/>
        <v>P798</v>
      </c>
      <c r="B799" t="s">
        <v>10</v>
      </c>
      <c r="C799" t="s">
        <v>9</v>
      </c>
      <c r="D799">
        <v>33.57</v>
      </c>
      <c r="E799">
        <v>215</v>
      </c>
      <c r="F799">
        <v>3.4</v>
      </c>
      <c r="G799" t="b">
        <v>0</v>
      </c>
      <c r="H799">
        <f>(Table1[[#This Row],[price]]*Table1[[#This Row],[units_sold]])</f>
        <v>7217.55</v>
      </c>
      <c r="I799" t="str">
        <f>IF(Table1[[#This Row],[in_stock]]=TRUE,"Available","Out of stock")</f>
        <v>Out of stock</v>
      </c>
      <c r="J799" t="str">
        <f>IF(Table1[[#This Row],[rating]]&gt;=4,"High",IF(Table1[[#This Row],[rating]]&gt;=2.5,"Medium","Low"))</f>
        <v>Medium</v>
      </c>
      <c r="K799" t="str">
        <f>IF(Table1[[#This Row],[price]]&lt;200,"Budget",IF(Table1[[#This Row],[price]]&lt;600,"Mid-Range",IF(Table1[[#This Row],[price]]&lt;1000,"Premium","Luxury")))</f>
        <v>Budget</v>
      </c>
      <c r="L799" t="str">
        <f>IF(Table1[[#This Row],[units_sold]]&lt;50,"Very Low",IF(Table1[[#This Row],[units_sold]]&lt;150,"Low",IF(Table1[[#This Row],[units_sold]]&lt;300,"Medium","High")))</f>
        <v>Medium</v>
      </c>
      <c r="M799" t="str">
        <f t="shared" si="25"/>
        <v>Normal</v>
      </c>
      <c r="N799">
        <f>(Table1[[#This Row],[price]]*0.7)</f>
        <v>23.498999999999999</v>
      </c>
    </row>
    <row r="800" spans="1:14" x14ac:dyDescent="0.35">
      <c r="A800" t="str">
        <f t="shared" si="24"/>
        <v>P799</v>
      </c>
      <c r="B800" t="s">
        <v>14</v>
      </c>
      <c r="C800" t="s">
        <v>9</v>
      </c>
      <c r="D800">
        <v>518.22</v>
      </c>
      <c r="E800">
        <v>150</v>
      </c>
      <c r="F800">
        <v>3.5</v>
      </c>
      <c r="G800" t="b">
        <v>1</v>
      </c>
      <c r="H800">
        <f>(Table1[[#This Row],[price]]*Table1[[#This Row],[units_sold]])</f>
        <v>77733</v>
      </c>
      <c r="I800" t="str">
        <f>IF(Table1[[#This Row],[in_stock]]=TRUE,"Available","Out of stock")</f>
        <v>Available</v>
      </c>
      <c r="J800" t="str">
        <f>IF(Table1[[#This Row],[rating]]&gt;=4,"High",IF(Table1[[#This Row],[rating]]&gt;=2.5,"Medium","Low"))</f>
        <v>Medium</v>
      </c>
      <c r="K800" t="str">
        <f>IF(Table1[[#This Row],[price]]&lt;200,"Budget",IF(Table1[[#This Row],[price]]&lt;600,"Mid-Range",IF(Table1[[#This Row],[price]]&lt;1000,"Premium","Luxury")))</f>
        <v>Mid-Range</v>
      </c>
      <c r="L800" t="str">
        <f>IF(Table1[[#This Row],[units_sold]]&lt;50,"Very Low",IF(Table1[[#This Row],[units_sold]]&lt;150,"Low",IF(Table1[[#This Row],[units_sold]]&lt;300,"Medium","High")))</f>
        <v>Medium</v>
      </c>
      <c r="M800" t="str">
        <f t="shared" si="25"/>
        <v>Normal</v>
      </c>
      <c r="N800">
        <f>(Table1[[#This Row],[price]]*0.7)</f>
        <v>362.75400000000002</v>
      </c>
    </row>
    <row r="801" spans="1:14" x14ac:dyDescent="0.35">
      <c r="A801" t="str">
        <f t="shared" si="24"/>
        <v>P800</v>
      </c>
      <c r="B801" t="s">
        <v>8</v>
      </c>
      <c r="C801" t="s">
        <v>9</v>
      </c>
      <c r="D801">
        <v>1229.8699999999999</v>
      </c>
      <c r="E801">
        <v>432</v>
      </c>
      <c r="F801">
        <v>3.6</v>
      </c>
      <c r="G801" t="b">
        <v>1</v>
      </c>
      <c r="H801">
        <f>(Table1[[#This Row],[price]]*Table1[[#This Row],[units_sold]])</f>
        <v>531303.84</v>
      </c>
      <c r="I801" t="str">
        <f>IF(Table1[[#This Row],[in_stock]]=TRUE,"Available","Out of stock")</f>
        <v>Available</v>
      </c>
      <c r="J801" t="str">
        <f>IF(Table1[[#This Row],[rating]]&gt;=4,"High",IF(Table1[[#This Row],[rating]]&gt;=2.5,"Medium","Low"))</f>
        <v>Medium</v>
      </c>
      <c r="K801" t="str">
        <f>IF(Table1[[#This Row],[price]]&lt;200,"Budget",IF(Table1[[#This Row],[price]]&lt;600,"Mid-Range",IF(Table1[[#This Row],[price]]&lt;1000,"Premium","Luxury")))</f>
        <v>Luxury</v>
      </c>
      <c r="L801" t="str">
        <f>IF(Table1[[#This Row],[units_sold]]&lt;50,"Very Low",IF(Table1[[#This Row],[units_sold]]&lt;150,"Low",IF(Table1[[#This Row],[units_sold]]&lt;300,"Medium","High")))</f>
        <v>High</v>
      </c>
      <c r="M801" t="str">
        <f t="shared" si="25"/>
        <v>Normal</v>
      </c>
      <c r="N801">
        <f>(Table1[[#This Row],[price]]*0.7)</f>
        <v>860.90899999999988</v>
      </c>
    </row>
    <row r="802" spans="1:14" x14ac:dyDescent="0.35">
      <c r="A802" t="str">
        <f t="shared" si="24"/>
        <v>P801</v>
      </c>
      <c r="B802" t="s">
        <v>16</v>
      </c>
      <c r="C802" t="s">
        <v>9</v>
      </c>
      <c r="D802">
        <v>908.8</v>
      </c>
      <c r="E802">
        <v>83</v>
      </c>
      <c r="F802">
        <v>2</v>
      </c>
      <c r="G802" t="b">
        <v>1</v>
      </c>
      <c r="H802">
        <f>(Table1[[#This Row],[price]]*Table1[[#This Row],[units_sold]])</f>
        <v>75430.399999999994</v>
      </c>
      <c r="I802" t="str">
        <f>IF(Table1[[#This Row],[in_stock]]=TRUE,"Available","Out of stock")</f>
        <v>Available</v>
      </c>
      <c r="J802" t="str">
        <f>IF(Table1[[#This Row],[rating]]&gt;=4,"High",IF(Table1[[#This Row],[rating]]&gt;=2.5,"Medium","Low"))</f>
        <v>Low</v>
      </c>
      <c r="K802" t="str">
        <f>IF(Table1[[#This Row],[price]]&lt;200,"Budget",IF(Table1[[#This Row],[price]]&lt;600,"Mid-Range",IF(Table1[[#This Row],[price]]&lt;1000,"Premium","Luxury")))</f>
        <v>Premium</v>
      </c>
      <c r="L802" t="str">
        <f>IF(Table1[[#This Row],[units_sold]]&lt;50,"Very Low",IF(Table1[[#This Row],[units_sold]]&lt;150,"Low",IF(Table1[[#This Row],[units_sold]]&lt;300,"Medium","High")))</f>
        <v>Low</v>
      </c>
      <c r="M802" t="str">
        <f t="shared" si="25"/>
        <v>Normal</v>
      </c>
      <c r="N802">
        <f>(Table1[[#This Row],[price]]*0.7)</f>
        <v>636.16</v>
      </c>
    </row>
    <row r="803" spans="1:14" x14ac:dyDescent="0.35">
      <c r="A803" t="str">
        <f t="shared" si="24"/>
        <v>P802</v>
      </c>
      <c r="B803" t="s">
        <v>14</v>
      </c>
      <c r="C803" t="s">
        <v>9</v>
      </c>
      <c r="D803">
        <v>512.47</v>
      </c>
      <c r="E803">
        <v>110</v>
      </c>
      <c r="F803">
        <v>3.9</v>
      </c>
      <c r="G803" t="b">
        <v>1</v>
      </c>
      <c r="H803">
        <f>(Table1[[#This Row],[price]]*Table1[[#This Row],[units_sold]])</f>
        <v>56371.700000000004</v>
      </c>
      <c r="I803" t="str">
        <f>IF(Table1[[#This Row],[in_stock]]=TRUE,"Available","Out of stock")</f>
        <v>Available</v>
      </c>
      <c r="J803" t="str">
        <f>IF(Table1[[#This Row],[rating]]&gt;=4,"High",IF(Table1[[#This Row],[rating]]&gt;=2.5,"Medium","Low"))</f>
        <v>Medium</v>
      </c>
      <c r="K803" t="str">
        <f>IF(Table1[[#This Row],[price]]&lt;200,"Budget",IF(Table1[[#This Row],[price]]&lt;600,"Mid-Range",IF(Table1[[#This Row],[price]]&lt;1000,"Premium","Luxury")))</f>
        <v>Mid-Range</v>
      </c>
      <c r="L803" t="str">
        <f>IF(Table1[[#This Row],[units_sold]]&lt;50,"Very Low",IF(Table1[[#This Row],[units_sold]]&lt;150,"Low",IF(Table1[[#This Row],[units_sold]]&lt;300,"Medium","High")))</f>
        <v>Low</v>
      </c>
      <c r="M803" t="str">
        <f t="shared" si="25"/>
        <v>Normal</v>
      </c>
      <c r="N803">
        <f>(Table1[[#This Row],[price]]*0.7)</f>
        <v>358.72899999999998</v>
      </c>
    </row>
    <row r="804" spans="1:14" x14ac:dyDescent="0.35">
      <c r="A804" t="str">
        <f t="shared" si="24"/>
        <v>P803</v>
      </c>
      <c r="B804" t="s">
        <v>15</v>
      </c>
      <c r="C804" t="s">
        <v>7</v>
      </c>
      <c r="D804">
        <v>1359.23</v>
      </c>
      <c r="E804">
        <v>435</v>
      </c>
      <c r="F804">
        <v>1.4</v>
      </c>
      <c r="G804" t="b">
        <v>1</v>
      </c>
      <c r="H804">
        <f>(Table1[[#This Row],[price]]*Table1[[#This Row],[units_sold]])</f>
        <v>591265.05000000005</v>
      </c>
      <c r="I804" t="str">
        <f>IF(Table1[[#This Row],[in_stock]]=TRUE,"Available","Out of stock")</f>
        <v>Available</v>
      </c>
      <c r="J804" t="str">
        <f>IF(Table1[[#This Row],[rating]]&gt;=4,"High",IF(Table1[[#This Row],[rating]]&gt;=2.5,"Medium","Low"))</f>
        <v>Low</v>
      </c>
      <c r="K804" t="str">
        <f>IF(Table1[[#This Row],[price]]&lt;200,"Budget",IF(Table1[[#This Row],[price]]&lt;600,"Mid-Range",IF(Table1[[#This Row],[price]]&lt;1000,"Premium","Luxury")))</f>
        <v>Luxury</v>
      </c>
      <c r="L804" t="str">
        <f>IF(Table1[[#This Row],[units_sold]]&lt;50,"Very Low",IF(Table1[[#This Row],[units_sold]]&lt;150,"Low",IF(Table1[[#This Row],[units_sold]]&lt;300,"Medium","High")))</f>
        <v>High</v>
      </c>
      <c r="M804" t="str">
        <f t="shared" si="25"/>
        <v>Normal</v>
      </c>
      <c r="N804">
        <f>(Table1[[#This Row],[price]]*0.7)</f>
        <v>951.4609999999999</v>
      </c>
    </row>
    <row r="805" spans="1:14" x14ac:dyDescent="0.35">
      <c r="A805" t="str">
        <f t="shared" si="24"/>
        <v>P804</v>
      </c>
      <c r="B805" t="s">
        <v>10</v>
      </c>
      <c r="C805" t="s">
        <v>9</v>
      </c>
      <c r="D805">
        <v>1161.21</v>
      </c>
      <c r="E805">
        <v>387</v>
      </c>
      <c r="F805">
        <v>1.8</v>
      </c>
      <c r="G805" t="b">
        <v>1</v>
      </c>
      <c r="H805">
        <f>(Table1[[#This Row],[price]]*Table1[[#This Row],[units_sold]])</f>
        <v>449388.27</v>
      </c>
      <c r="I805" t="str">
        <f>IF(Table1[[#This Row],[in_stock]]=TRUE,"Available","Out of stock")</f>
        <v>Available</v>
      </c>
      <c r="J805" t="str">
        <f>IF(Table1[[#This Row],[rating]]&gt;=4,"High",IF(Table1[[#This Row],[rating]]&gt;=2.5,"Medium","Low"))</f>
        <v>Low</v>
      </c>
      <c r="K805" t="str">
        <f>IF(Table1[[#This Row],[price]]&lt;200,"Budget",IF(Table1[[#This Row],[price]]&lt;600,"Mid-Range",IF(Table1[[#This Row],[price]]&lt;1000,"Premium","Luxury")))</f>
        <v>Luxury</v>
      </c>
      <c r="L805" t="str">
        <f>IF(Table1[[#This Row],[units_sold]]&lt;50,"Very Low",IF(Table1[[#This Row],[units_sold]]&lt;150,"Low",IF(Table1[[#This Row],[units_sold]]&lt;300,"Medium","High")))</f>
        <v>High</v>
      </c>
      <c r="M805" t="str">
        <f t="shared" si="25"/>
        <v>Normal</v>
      </c>
      <c r="N805">
        <f>(Table1[[#This Row],[price]]*0.7)</f>
        <v>812.84699999999998</v>
      </c>
    </row>
    <row r="806" spans="1:14" x14ac:dyDescent="0.35">
      <c r="A806" t="str">
        <f t="shared" si="24"/>
        <v>P805</v>
      </c>
      <c r="B806" t="s">
        <v>8</v>
      </c>
      <c r="C806" t="s">
        <v>9</v>
      </c>
      <c r="D806">
        <v>404.69</v>
      </c>
      <c r="E806">
        <v>426</v>
      </c>
      <c r="F806">
        <v>4.5</v>
      </c>
      <c r="G806" t="b">
        <v>1</v>
      </c>
      <c r="H806">
        <f>(Table1[[#This Row],[price]]*Table1[[#This Row],[units_sold]])</f>
        <v>172397.94</v>
      </c>
      <c r="I806" t="str">
        <f>IF(Table1[[#This Row],[in_stock]]=TRUE,"Available","Out of stock")</f>
        <v>Available</v>
      </c>
      <c r="J806" t="str">
        <f>IF(Table1[[#This Row],[rating]]&gt;=4,"High",IF(Table1[[#This Row],[rating]]&gt;=2.5,"Medium","Low"))</f>
        <v>High</v>
      </c>
      <c r="K806" t="str">
        <f>IF(Table1[[#This Row],[price]]&lt;200,"Budget",IF(Table1[[#This Row],[price]]&lt;600,"Mid-Range",IF(Table1[[#This Row],[price]]&lt;1000,"Premium","Luxury")))</f>
        <v>Mid-Range</v>
      </c>
      <c r="L806" t="str">
        <f>IF(Table1[[#This Row],[units_sold]]&lt;50,"Very Low",IF(Table1[[#This Row],[units_sold]]&lt;150,"Low",IF(Table1[[#This Row],[units_sold]]&lt;300,"Medium","High")))</f>
        <v>High</v>
      </c>
      <c r="M806" t="str">
        <f t="shared" si="25"/>
        <v>Normal</v>
      </c>
      <c r="N806">
        <f>(Table1[[#This Row],[price]]*0.7)</f>
        <v>283.28299999999996</v>
      </c>
    </row>
    <row r="807" spans="1:14" x14ac:dyDescent="0.35">
      <c r="A807" t="str">
        <f t="shared" si="24"/>
        <v>P806</v>
      </c>
      <c r="B807" t="s">
        <v>16</v>
      </c>
      <c r="C807" t="s">
        <v>9</v>
      </c>
      <c r="D807">
        <v>971.48</v>
      </c>
      <c r="E807">
        <v>275</v>
      </c>
      <c r="F807">
        <v>4</v>
      </c>
      <c r="G807" t="b">
        <v>0</v>
      </c>
      <c r="H807">
        <f>(Table1[[#This Row],[price]]*Table1[[#This Row],[units_sold]])</f>
        <v>267157</v>
      </c>
      <c r="I807" t="str">
        <f>IF(Table1[[#This Row],[in_stock]]=TRUE,"Available","Out of stock")</f>
        <v>Out of stock</v>
      </c>
      <c r="J807" t="str">
        <f>IF(Table1[[#This Row],[rating]]&gt;=4,"High",IF(Table1[[#This Row],[rating]]&gt;=2.5,"Medium","Low"))</f>
        <v>High</v>
      </c>
      <c r="K807" t="str">
        <f>IF(Table1[[#This Row],[price]]&lt;200,"Budget",IF(Table1[[#This Row],[price]]&lt;600,"Mid-Range",IF(Table1[[#This Row],[price]]&lt;1000,"Premium","Luxury")))</f>
        <v>Premium</v>
      </c>
      <c r="L807" t="str">
        <f>IF(Table1[[#This Row],[units_sold]]&lt;50,"Very Low",IF(Table1[[#This Row],[units_sold]]&lt;150,"Low",IF(Table1[[#This Row],[units_sold]]&lt;300,"Medium","High")))</f>
        <v>Medium</v>
      </c>
      <c r="M807" t="str">
        <f t="shared" si="25"/>
        <v>Normal</v>
      </c>
      <c r="N807">
        <f>(Table1[[#This Row],[price]]*0.7)</f>
        <v>680.03599999999994</v>
      </c>
    </row>
    <row r="808" spans="1:14" x14ac:dyDescent="0.35">
      <c r="A808" t="str">
        <f t="shared" si="24"/>
        <v>P807</v>
      </c>
      <c r="B808" t="s">
        <v>17</v>
      </c>
      <c r="C808" t="s">
        <v>7</v>
      </c>
      <c r="D808">
        <v>897.67</v>
      </c>
      <c r="E808">
        <v>201</v>
      </c>
      <c r="F808">
        <v>1.1000000000000001</v>
      </c>
      <c r="G808" t="b">
        <v>1</v>
      </c>
      <c r="H808">
        <f>(Table1[[#This Row],[price]]*Table1[[#This Row],[units_sold]])</f>
        <v>180431.66999999998</v>
      </c>
      <c r="I808" t="str">
        <f>IF(Table1[[#This Row],[in_stock]]=TRUE,"Available","Out of stock")</f>
        <v>Available</v>
      </c>
      <c r="J808" t="str">
        <f>IF(Table1[[#This Row],[rating]]&gt;=4,"High",IF(Table1[[#This Row],[rating]]&gt;=2.5,"Medium","Low"))</f>
        <v>Low</v>
      </c>
      <c r="K808" t="str">
        <f>IF(Table1[[#This Row],[price]]&lt;200,"Budget",IF(Table1[[#This Row],[price]]&lt;600,"Mid-Range",IF(Table1[[#This Row],[price]]&lt;1000,"Premium","Luxury")))</f>
        <v>Premium</v>
      </c>
      <c r="L808" t="str">
        <f>IF(Table1[[#This Row],[units_sold]]&lt;50,"Very Low",IF(Table1[[#This Row],[units_sold]]&lt;150,"Low",IF(Table1[[#This Row],[units_sold]]&lt;300,"Medium","High")))</f>
        <v>Medium</v>
      </c>
      <c r="M808" t="str">
        <f t="shared" si="25"/>
        <v>Normal</v>
      </c>
      <c r="N808">
        <f>(Table1[[#This Row],[price]]*0.7)</f>
        <v>628.36899999999991</v>
      </c>
    </row>
    <row r="809" spans="1:14" x14ac:dyDescent="0.35">
      <c r="A809" t="str">
        <f t="shared" si="24"/>
        <v>P808</v>
      </c>
      <c r="B809" t="s">
        <v>8</v>
      </c>
      <c r="C809" t="s">
        <v>9</v>
      </c>
      <c r="D809">
        <v>607.77</v>
      </c>
      <c r="E809">
        <v>284</v>
      </c>
      <c r="F809">
        <v>2</v>
      </c>
      <c r="G809" t="b">
        <v>1</v>
      </c>
      <c r="H809">
        <f>(Table1[[#This Row],[price]]*Table1[[#This Row],[units_sold]])</f>
        <v>172606.68</v>
      </c>
      <c r="I809" t="str">
        <f>IF(Table1[[#This Row],[in_stock]]=TRUE,"Available","Out of stock")</f>
        <v>Available</v>
      </c>
      <c r="J809" t="str">
        <f>IF(Table1[[#This Row],[rating]]&gt;=4,"High",IF(Table1[[#This Row],[rating]]&gt;=2.5,"Medium","Low"))</f>
        <v>Low</v>
      </c>
      <c r="K809" t="str">
        <f>IF(Table1[[#This Row],[price]]&lt;200,"Budget",IF(Table1[[#This Row],[price]]&lt;600,"Mid-Range",IF(Table1[[#This Row],[price]]&lt;1000,"Premium","Luxury")))</f>
        <v>Premium</v>
      </c>
      <c r="L809" t="str">
        <f>IF(Table1[[#This Row],[units_sold]]&lt;50,"Very Low",IF(Table1[[#This Row],[units_sold]]&lt;150,"Low",IF(Table1[[#This Row],[units_sold]]&lt;300,"Medium","High")))</f>
        <v>Medium</v>
      </c>
      <c r="M809" t="str">
        <f t="shared" si="25"/>
        <v>Normal</v>
      </c>
      <c r="N809">
        <f>(Table1[[#This Row],[price]]*0.7)</f>
        <v>425.43899999999996</v>
      </c>
    </row>
    <row r="810" spans="1:14" x14ac:dyDescent="0.35">
      <c r="A810" t="str">
        <f t="shared" si="24"/>
        <v>P809</v>
      </c>
      <c r="B810" t="s">
        <v>17</v>
      </c>
      <c r="C810" t="s">
        <v>7</v>
      </c>
      <c r="D810">
        <v>556.76</v>
      </c>
      <c r="E810">
        <v>468</v>
      </c>
      <c r="F810">
        <v>1.9</v>
      </c>
      <c r="G810" t="b">
        <v>1</v>
      </c>
      <c r="H810">
        <f>(Table1[[#This Row],[price]]*Table1[[#This Row],[units_sold]])</f>
        <v>260563.68</v>
      </c>
      <c r="I810" t="str">
        <f>IF(Table1[[#This Row],[in_stock]]=TRUE,"Available","Out of stock")</f>
        <v>Available</v>
      </c>
      <c r="J810" t="str">
        <f>IF(Table1[[#This Row],[rating]]&gt;=4,"High",IF(Table1[[#This Row],[rating]]&gt;=2.5,"Medium","Low"))</f>
        <v>Low</v>
      </c>
      <c r="K810" t="str">
        <f>IF(Table1[[#This Row],[price]]&lt;200,"Budget",IF(Table1[[#This Row],[price]]&lt;600,"Mid-Range",IF(Table1[[#This Row],[price]]&lt;1000,"Premium","Luxury")))</f>
        <v>Mid-Range</v>
      </c>
      <c r="L810" t="str">
        <f>IF(Table1[[#This Row],[units_sold]]&lt;50,"Very Low",IF(Table1[[#This Row],[units_sold]]&lt;150,"Low",IF(Table1[[#This Row],[units_sold]]&lt;300,"Medium","High")))</f>
        <v>High</v>
      </c>
      <c r="M810" t="str">
        <f t="shared" si="25"/>
        <v>Normal</v>
      </c>
      <c r="N810">
        <f>(Table1[[#This Row],[price]]*0.7)</f>
        <v>389.73199999999997</v>
      </c>
    </row>
    <row r="811" spans="1:14" x14ac:dyDescent="0.35">
      <c r="A811" t="str">
        <f t="shared" si="24"/>
        <v>P810</v>
      </c>
      <c r="B811" t="s">
        <v>10</v>
      </c>
      <c r="C811" t="s">
        <v>9</v>
      </c>
      <c r="D811">
        <v>521.91</v>
      </c>
      <c r="E811">
        <v>173</v>
      </c>
      <c r="F811">
        <v>2.1</v>
      </c>
      <c r="G811" t="b">
        <v>1</v>
      </c>
      <c r="H811">
        <f>(Table1[[#This Row],[price]]*Table1[[#This Row],[units_sold]])</f>
        <v>90290.43</v>
      </c>
      <c r="I811" t="str">
        <f>IF(Table1[[#This Row],[in_stock]]=TRUE,"Available","Out of stock")</f>
        <v>Available</v>
      </c>
      <c r="J811" t="str">
        <f>IF(Table1[[#This Row],[rating]]&gt;=4,"High",IF(Table1[[#This Row],[rating]]&gt;=2.5,"Medium","Low"))</f>
        <v>Low</v>
      </c>
      <c r="K811" t="str">
        <f>IF(Table1[[#This Row],[price]]&lt;200,"Budget",IF(Table1[[#This Row],[price]]&lt;600,"Mid-Range",IF(Table1[[#This Row],[price]]&lt;1000,"Premium","Luxury")))</f>
        <v>Mid-Range</v>
      </c>
      <c r="L811" t="str">
        <f>IF(Table1[[#This Row],[units_sold]]&lt;50,"Very Low",IF(Table1[[#This Row],[units_sold]]&lt;150,"Low",IF(Table1[[#This Row],[units_sold]]&lt;300,"Medium","High")))</f>
        <v>Medium</v>
      </c>
      <c r="M811" t="str">
        <f t="shared" si="25"/>
        <v>Normal</v>
      </c>
      <c r="N811">
        <f>(Table1[[#This Row],[price]]*0.7)</f>
        <v>365.33699999999993</v>
      </c>
    </row>
    <row r="812" spans="1:14" x14ac:dyDescent="0.35">
      <c r="A812" t="str">
        <f t="shared" si="24"/>
        <v>P811</v>
      </c>
      <c r="B812" t="s">
        <v>13</v>
      </c>
      <c r="C812" t="s">
        <v>9</v>
      </c>
      <c r="D812">
        <v>929.56</v>
      </c>
      <c r="E812">
        <v>327</v>
      </c>
      <c r="F812">
        <v>2</v>
      </c>
      <c r="G812" t="b">
        <v>1</v>
      </c>
      <c r="H812">
        <f>(Table1[[#This Row],[price]]*Table1[[#This Row],[units_sold]])</f>
        <v>303966.12</v>
      </c>
      <c r="I812" t="str">
        <f>IF(Table1[[#This Row],[in_stock]]=TRUE,"Available","Out of stock")</f>
        <v>Available</v>
      </c>
      <c r="J812" t="str">
        <f>IF(Table1[[#This Row],[rating]]&gt;=4,"High",IF(Table1[[#This Row],[rating]]&gt;=2.5,"Medium","Low"))</f>
        <v>Low</v>
      </c>
      <c r="K812" t="str">
        <f>IF(Table1[[#This Row],[price]]&lt;200,"Budget",IF(Table1[[#This Row],[price]]&lt;600,"Mid-Range",IF(Table1[[#This Row],[price]]&lt;1000,"Premium","Luxury")))</f>
        <v>Premium</v>
      </c>
      <c r="L812" t="str">
        <f>IF(Table1[[#This Row],[units_sold]]&lt;50,"Very Low",IF(Table1[[#This Row],[units_sold]]&lt;150,"Low",IF(Table1[[#This Row],[units_sold]]&lt;300,"Medium","High")))</f>
        <v>High</v>
      </c>
      <c r="M812" t="str">
        <f t="shared" si="25"/>
        <v>Normal</v>
      </c>
      <c r="N812">
        <f>(Table1[[#This Row],[price]]*0.7)</f>
        <v>650.69199999999989</v>
      </c>
    </row>
    <row r="813" spans="1:14" x14ac:dyDescent="0.35">
      <c r="A813" t="str">
        <f t="shared" si="24"/>
        <v>P812</v>
      </c>
      <c r="B813" t="s">
        <v>8</v>
      </c>
      <c r="C813" t="s">
        <v>9</v>
      </c>
      <c r="D813">
        <v>669.19</v>
      </c>
      <c r="E813">
        <v>206</v>
      </c>
      <c r="F813">
        <v>1.3</v>
      </c>
      <c r="G813" t="b">
        <v>1</v>
      </c>
      <c r="H813">
        <f>(Table1[[#This Row],[price]]*Table1[[#This Row],[units_sold]])</f>
        <v>137853.14000000001</v>
      </c>
      <c r="I813" t="str">
        <f>IF(Table1[[#This Row],[in_stock]]=TRUE,"Available","Out of stock")</f>
        <v>Available</v>
      </c>
      <c r="J813" t="str">
        <f>IF(Table1[[#This Row],[rating]]&gt;=4,"High",IF(Table1[[#This Row],[rating]]&gt;=2.5,"Medium","Low"))</f>
        <v>Low</v>
      </c>
      <c r="K813" t="str">
        <f>IF(Table1[[#This Row],[price]]&lt;200,"Budget",IF(Table1[[#This Row],[price]]&lt;600,"Mid-Range",IF(Table1[[#This Row],[price]]&lt;1000,"Premium","Luxury")))</f>
        <v>Premium</v>
      </c>
      <c r="L813" t="str">
        <f>IF(Table1[[#This Row],[units_sold]]&lt;50,"Very Low",IF(Table1[[#This Row],[units_sold]]&lt;150,"Low",IF(Table1[[#This Row],[units_sold]]&lt;300,"Medium","High")))</f>
        <v>Medium</v>
      </c>
      <c r="M813" t="str">
        <f t="shared" si="25"/>
        <v>Normal</v>
      </c>
      <c r="N813">
        <f>(Table1[[#This Row],[price]]*0.7)</f>
        <v>468.43299999999999</v>
      </c>
    </row>
    <row r="814" spans="1:14" x14ac:dyDescent="0.35">
      <c r="A814" t="str">
        <f t="shared" si="24"/>
        <v>P813</v>
      </c>
      <c r="B814" t="s">
        <v>11</v>
      </c>
      <c r="C814" t="s">
        <v>9</v>
      </c>
      <c r="D814">
        <v>1249.48</v>
      </c>
      <c r="E814">
        <v>63</v>
      </c>
      <c r="F814">
        <v>2.8</v>
      </c>
      <c r="G814" t="b">
        <v>0</v>
      </c>
      <c r="H814">
        <f>(Table1[[#This Row],[price]]*Table1[[#This Row],[units_sold]])</f>
        <v>78717.240000000005</v>
      </c>
      <c r="I814" t="str">
        <f>IF(Table1[[#This Row],[in_stock]]=TRUE,"Available","Out of stock")</f>
        <v>Out of stock</v>
      </c>
      <c r="J814" t="str">
        <f>IF(Table1[[#This Row],[rating]]&gt;=4,"High",IF(Table1[[#This Row],[rating]]&gt;=2.5,"Medium","Low"))</f>
        <v>Medium</v>
      </c>
      <c r="K814" t="str">
        <f>IF(Table1[[#This Row],[price]]&lt;200,"Budget",IF(Table1[[#This Row],[price]]&lt;600,"Mid-Range",IF(Table1[[#This Row],[price]]&lt;1000,"Premium","Luxury")))</f>
        <v>Luxury</v>
      </c>
      <c r="L814" t="str">
        <f>IF(Table1[[#This Row],[units_sold]]&lt;50,"Very Low",IF(Table1[[#This Row],[units_sold]]&lt;150,"Low",IF(Table1[[#This Row],[units_sold]]&lt;300,"Medium","High")))</f>
        <v>Low</v>
      </c>
      <c r="M814" t="str">
        <f t="shared" si="25"/>
        <v>Normal</v>
      </c>
      <c r="N814">
        <f>(Table1[[#This Row],[price]]*0.7)</f>
        <v>874.63599999999997</v>
      </c>
    </row>
    <row r="815" spans="1:14" x14ac:dyDescent="0.35">
      <c r="A815" t="str">
        <f t="shared" si="24"/>
        <v>P814</v>
      </c>
      <c r="B815" t="s">
        <v>17</v>
      </c>
      <c r="C815" t="s">
        <v>7</v>
      </c>
      <c r="D815">
        <v>1007.71</v>
      </c>
      <c r="E815">
        <v>73</v>
      </c>
      <c r="F815">
        <v>3.9</v>
      </c>
      <c r="G815" t="b">
        <v>1</v>
      </c>
      <c r="H815">
        <f>(Table1[[#This Row],[price]]*Table1[[#This Row],[units_sold]])</f>
        <v>73562.83</v>
      </c>
      <c r="I815" t="str">
        <f>IF(Table1[[#This Row],[in_stock]]=TRUE,"Available","Out of stock")</f>
        <v>Available</v>
      </c>
      <c r="J815" t="str">
        <f>IF(Table1[[#This Row],[rating]]&gt;=4,"High",IF(Table1[[#This Row],[rating]]&gt;=2.5,"Medium","Low"))</f>
        <v>Medium</v>
      </c>
      <c r="K815" t="str">
        <f>IF(Table1[[#This Row],[price]]&lt;200,"Budget",IF(Table1[[#This Row],[price]]&lt;600,"Mid-Range",IF(Table1[[#This Row],[price]]&lt;1000,"Premium","Luxury")))</f>
        <v>Luxury</v>
      </c>
      <c r="L815" t="str">
        <f>IF(Table1[[#This Row],[units_sold]]&lt;50,"Very Low",IF(Table1[[#This Row],[units_sold]]&lt;150,"Low",IF(Table1[[#This Row],[units_sold]]&lt;300,"Medium","High")))</f>
        <v>Low</v>
      </c>
      <c r="M815" t="str">
        <f t="shared" si="25"/>
        <v>Normal</v>
      </c>
      <c r="N815">
        <f>(Table1[[#This Row],[price]]*0.7)</f>
        <v>705.39699999999993</v>
      </c>
    </row>
    <row r="816" spans="1:14" x14ac:dyDescent="0.35">
      <c r="A816" t="str">
        <f t="shared" si="24"/>
        <v>P815</v>
      </c>
      <c r="B816" t="s">
        <v>15</v>
      </c>
      <c r="C816" t="s">
        <v>7</v>
      </c>
      <c r="D816">
        <v>114.2</v>
      </c>
      <c r="E816">
        <v>251</v>
      </c>
      <c r="F816">
        <v>3.4</v>
      </c>
      <c r="G816" t="b">
        <v>1</v>
      </c>
      <c r="H816">
        <f>(Table1[[#This Row],[price]]*Table1[[#This Row],[units_sold]])</f>
        <v>28664.2</v>
      </c>
      <c r="I816" t="str">
        <f>IF(Table1[[#This Row],[in_stock]]=TRUE,"Available","Out of stock")</f>
        <v>Available</v>
      </c>
      <c r="J816" t="str">
        <f>IF(Table1[[#This Row],[rating]]&gt;=4,"High",IF(Table1[[#This Row],[rating]]&gt;=2.5,"Medium","Low"))</f>
        <v>Medium</v>
      </c>
      <c r="K816" t="str">
        <f>IF(Table1[[#This Row],[price]]&lt;200,"Budget",IF(Table1[[#This Row],[price]]&lt;600,"Mid-Range",IF(Table1[[#This Row],[price]]&lt;1000,"Premium","Luxury")))</f>
        <v>Budget</v>
      </c>
      <c r="L816" t="str">
        <f>IF(Table1[[#This Row],[units_sold]]&lt;50,"Very Low",IF(Table1[[#This Row],[units_sold]]&lt;150,"Low",IF(Table1[[#This Row],[units_sold]]&lt;300,"Medium","High")))</f>
        <v>Medium</v>
      </c>
      <c r="M816" t="str">
        <f t="shared" si="25"/>
        <v>Normal</v>
      </c>
      <c r="N816">
        <f>(Table1[[#This Row],[price]]*0.7)</f>
        <v>79.94</v>
      </c>
    </row>
    <row r="817" spans="1:14" x14ac:dyDescent="0.35">
      <c r="A817" t="str">
        <f t="shared" si="24"/>
        <v>P816</v>
      </c>
      <c r="B817" t="s">
        <v>11</v>
      </c>
      <c r="C817" t="s">
        <v>9</v>
      </c>
      <c r="D817">
        <v>963.85</v>
      </c>
      <c r="E817">
        <v>124</v>
      </c>
      <c r="F817">
        <v>3.7</v>
      </c>
      <c r="G817" t="b">
        <v>1</v>
      </c>
      <c r="H817">
        <f>(Table1[[#This Row],[price]]*Table1[[#This Row],[units_sold]])</f>
        <v>119517.40000000001</v>
      </c>
      <c r="I817" t="str">
        <f>IF(Table1[[#This Row],[in_stock]]=TRUE,"Available","Out of stock")</f>
        <v>Available</v>
      </c>
      <c r="J817" t="str">
        <f>IF(Table1[[#This Row],[rating]]&gt;=4,"High",IF(Table1[[#This Row],[rating]]&gt;=2.5,"Medium","Low"))</f>
        <v>Medium</v>
      </c>
      <c r="K817" t="str">
        <f>IF(Table1[[#This Row],[price]]&lt;200,"Budget",IF(Table1[[#This Row],[price]]&lt;600,"Mid-Range",IF(Table1[[#This Row],[price]]&lt;1000,"Premium","Luxury")))</f>
        <v>Premium</v>
      </c>
      <c r="L817" t="str">
        <f>IF(Table1[[#This Row],[units_sold]]&lt;50,"Very Low",IF(Table1[[#This Row],[units_sold]]&lt;150,"Low",IF(Table1[[#This Row],[units_sold]]&lt;300,"Medium","High")))</f>
        <v>Low</v>
      </c>
      <c r="M817" t="str">
        <f t="shared" si="25"/>
        <v>Normal</v>
      </c>
      <c r="N817">
        <f>(Table1[[#This Row],[price]]*0.7)</f>
        <v>674.69499999999994</v>
      </c>
    </row>
    <row r="818" spans="1:14" x14ac:dyDescent="0.35">
      <c r="A818" t="str">
        <f t="shared" si="24"/>
        <v>P817</v>
      </c>
      <c r="B818" t="s">
        <v>6</v>
      </c>
      <c r="C818" t="s">
        <v>7</v>
      </c>
      <c r="D818">
        <v>414.01</v>
      </c>
      <c r="E818">
        <v>375</v>
      </c>
      <c r="F818">
        <v>1.3</v>
      </c>
      <c r="G818" t="b">
        <v>0</v>
      </c>
      <c r="H818">
        <f>(Table1[[#This Row],[price]]*Table1[[#This Row],[units_sold]])</f>
        <v>155253.75</v>
      </c>
      <c r="I818" t="str">
        <f>IF(Table1[[#This Row],[in_stock]]=TRUE,"Available","Out of stock")</f>
        <v>Out of stock</v>
      </c>
      <c r="J818" t="str">
        <f>IF(Table1[[#This Row],[rating]]&gt;=4,"High",IF(Table1[[#This Row],[rating]]&gt;=2.5,"Medium","Low"))</f>
        <v>Low</v>
      </c>
      <c r="K818" t="str">
        <f>IF(Table1[[#This Row],[price]]&lt;200,"Budget",IF(Table1[[#This Row],[price]]&lt;600,"Mid-Range",IF(Table1[[#This Row],[price]]&lt;1000,"Premium","Luxury")))</f>
        <v>Mid-Range</v>
      </c>
      <c r="L818" t="str">
        <f>IF(Table1[[#This Row],[units_sold]]&lt;50,"Very Low",IF(Table1[[#This Row],[units_sold]]&lt;150,"Low",IF(Table1[[#This Row],[units_sold]]&lt;300,"Medium","High")))</f>
        <v>High</v>
      </c>
      <c r="M818" t="str">
        <f t="shared" si="25"/>
        <v>High Demand - Out of Stock</v>
      </c>
      <c r="N818">
        <f>(Table1[[#This Row],[price]]*0.7)</f>
        <v>289.80699999999996</v>
      </c>
    </row>
    <row r="819" spans="1:14" x14ac:dyDescent="0.35">
      <c r="A819" t="str">
        <f t="shared" si="24"/>
        <v>P818</v>
      </c>
      <c r="B819" t="s">
        <v>6</v>
      </c>
      <c r="C819" t="s">
        <v>7</v>
      </c>
      <c r="D819">
        <v>893.29</v>
      </c>
      <c r="E819">
        <v>121</v>
      </c>
      <c r="F819">
        <v>4.8</v>
      </c>
      <c r="G819" t="b">
        <v>1</v>
      </c>
      <c r="H819">
        <f>(Table1[[#This Row],[price]]*Table1[[#This Row],[units_sold]])</f>
        <v>108088.09</v>
      </c>
      <c r="I819" t="str">
        <f>IF(Table1[[#This Row],[in_stock]]=TRUE,"Available","Out of stock")</f>
        <v>Available</v>
      </c>
      <c r="J819" t="str">
        <f>IF(Table1[[#This Row],[rating]]&gt;=4,"High",IF(Table1[[#This Row],[rating]]&gt;=2.5,"Medium","Low"))</f>
        <v>High</v>
      </c>
      <c r="K819" t="str">
        <f>IF(Table1[[#This Row],[price]]&lt;200,"Budget",IF(Table1[[#This Row],[price]]&lt;600,"Mid-Range",IF(Table1[[#This Row],[price]]&lt;1000,"Premium","Luxury")))</f>
        <v>Premium</v>
      </c>
      <c r="L819" t="str">
        <f>IF(Table1[[#This Row],[units_sold]]&lt;50,"Very Low",IF(Table1[[#This Row],[units_sold]]&lt;150,"Low",IF(Table1[[#This Row],[units_sold]]&lt;300,"Medium","High")))</f>
        <v>Low</v>
      </c>
      <c r="M819" t="str">
        <f t="shared" si="25"/>
        <v>Normal</v>
      </c>
      <c r="N819">
        <f>(Table1[[#This Row],[price]]*0.7)</f>
        <v>625.30299999999988</v>
      </c>
    </row>
    <row r="820" spans="1:14" x14ac:dyDescent="0.35">
      <c r="A820" t="str">
        <f t="shared" si="24"/>
        <v>P819</v>
      </c>
      <c r="B820" t="s">
        <v>16</v>
      </c>
      <c r="C820" t="s">
        <v>9</v>
      </c>
      <c r="D820">
        <v>1023.4</v>
      </c>
      <c r="E820">
        <v>275</v>
      </c>
      <c r="F820">
        <v>4.4000000000000004</v>
      </c>
      <c r="G820" t="b">
        <v>1</v>
      </c>
      <c r="H820">
        <f>(Table1[[#This Row],[price]]*Table1[[#This Row],[units_sold]])</f>
        <v>281435</v>
      </c>
      <c r="I820" t="str">
        <f>IF(Table1[[#This Row],[in_stock]]=TRUE,"Available","Out of stock")</f>
        <v>Available</v>
      </c>
      <c r="J820" t="str">
        <f>IF(Table1[[#This Row],[rating]]&gt;=4,"High",IF(Table1[[#This Row],[rating]]&gt;=2.5,"Medium","Low"))</f>
        <v>High</v>
      </c>
      <c r="K820" t="str">
        <f>IF(Table1[[#This Row],[price]]&lt;200,"Budget",IF(Table1[[#This Row],[price]]&lt;600,"Mid-Range",IF(Table1[[#This Row],[price]]&lt;1000,"Premium","Luxury")))</f>
        <v>Luxury</v>
      </c>
      <c r="L820" t="str">
        <f>IF(Table1[[#This Row],[units_sold]]&lt;50,"Very Low",IF(Table1[[#This Row],[units_sold]]&lt;150,"Low",IF(Table1[[#This Row],[units_sold]]&lt;300,"Medium","High")))</f>
        <v>Medium</v>
      </c>
      <c r="M820" t="str">
        <f t="shared" si="25"/>
        <v>Normal</v>
      </c>
      <c r="N820">
        <f>(Table1[[#This Row],[price]]*0.7)</f>
        <v>716.37999999999988</v>
      </c>
    </row>
    <row r="821" spans="1:14" x14ac:dyDescent="0.35">
      <c r="A821" t="str">
        <f t="shared" si="24"/>
        <v>P820</v>
      </c>
      <c r="B821" t="s">
        <v>13</v>
      </c>
      <c r="C821" t="s">
        <v>9</v>
      </c>
      <c r="D821">
        <v>353.94</v>
      </c>
      <c r="E821">
        <v>431</v>
      </c>
      <c r="F821">
        <v>4.2</v>
      </c>
      <c r="G821" t="b">
        <v>1</v>
      </c>
      <c r="H821">
        <f>(Table1[[#This Row],[price]]*Table1[[#This Row],[units_sold]])</f>
        <v>152548.13999999998</v>
      </c>
      <c r="I821" t="str">
        <f>IF(Table1[[#This Row],[in_stock]]=TRUE,"Available","Out of stock")</f>
        <v>Available</v>
      </c>
      <c r="J821" t="str">
        <f>IF(Table1[[#This Row],[rating]]&gt;=4,"High",IF(Table1[[#This Row],[rating]]&gt;=2.5,"Medium","Low"))</f>
        <v>High</v>
      </c>
      <c r="K821" t="str">
        <f>IF(Table1[[#This Row],[price]]&lt;200,"Budget",IF(Table1[[#This Row],[price]]&lt;600,"Mid-Range",IF(Table1[[#This Row],[price]]&lt;1000,"Premium","Luxury")))</f>
        <v>Mid-Range</v>
      </c>
      <c r="L821" t="str">
        <f>IF(Table1[[#This Row],[units_sold]]&lt;50,"Very Low",IF(Table1[[#This Row],[units_sold]]&lt;150,"Low",IF(Table1[[#This Row],[units_sold]]&lt;300,"Medium","High")))</f>
        <v>High</v>
      </c>
      <c r="M821" t="str">
        <f t="shared" si="25"/>
        <v>Normal</v>
      </c>
      <c r="N821">
        <f>(Table1[[#This Row],[price]]*0.7)</f>
        <v>247.75799999999998</v>
      </c>
    </row>
    <row r="822" spans="1:14" x14ac:dyDescent="0.35">
      <c r="A822" t="str">
        <f t="shared" si="24"/>
        <v>P821</v>
      </c>
      <c r="B822" t="s">
        <v>10</v>
      </c>
      <c r="C822" t="s">
        <v>9</v>
      </c>
      <c r="D822">
        <v>690.72</v>
      </c>
      <c r="E822">
        <v>398</v>
      </c>
      <c r="F822">
        <v>4.3</v>
      </c>
      <c r="G822" t="b">
        <v>1</v>
      </c>
      <c r="H822">
        <f>(Table1[[#This Row],[price]]*Table1[[#This Row],[units_sold]])</f>
        <v>274906.56</v>
      </c>
      <c r="I822" t="str">
        <f>IF(Table1[[#This Row],[in_stock]]=TRUE,"Available","Out of stock")</f>
        <v>Available</v>
      </c>
      <c r="J822" t="str">
        <f>IF(Table1[[#This Row],[rating]]&gt;=4,"High",IF(Table1[[#This Row],[rating]]&gt;=2.5,"Medium","Low"))</f>
        <v>High</v>
      </c>
      <c r="K822" t="str">
        <f>IF(Table1[[#This Row],[price]]&lt;200,"Budget",IF(Table1[[#This Row],[price]]&lt;600,"Mid-Range",IF(Table1[[#This Row],[price]]&lt;1000,"Premium","Luxury")))</f>
        <v>Premium</v>
      </c>
      <c r="L822" t="str">
        <f>IF(Table1[[#This Row],[units_sold]]&lt;50,"Very Low",IF(Table1[[#This Row],[units_sold]]&lt;150,"Low",IF(Table1[[#This Row],[units_sold]]&lt;300,"Medium","High")))</f>
        <v>High</v>
      </c>
      <c r="M822" t="str">
        <f t="shared" si="25"/>
        <v>Normal</v>
      </c>
      <c r="N822">
        <f>(Table1[[#This Row],[price]]*0.7)</f>
        <v>483.50399999999996</v>
      </c>
    </row>
    <row r="823" spans="1:14" x14ac:dyDescent="0.35">
      <c r="A823" t="str">
        <f t="shared" si="24"/>
        <v>P822</v>
      </c>
      <c r="B823" t="s">
        <v>8</v>
      </c>
      <c r="C823" t="s">
        <v>9</v>
      </c>
      <c r="D823">
        <v>293.58</v>
      </c>
      <c r="E823">
        <v>120</v>
      </c>
      <c r="F823">
        <v>4.7</v>
      </c>
      <c r="G823" t="b">
        <v>1</v>
      </c>
      <c r="H823">
        <f>(Table1[[#This Row],[price]]*Table1[[#This Row],[units_sold]])</f>
        <v>35229.599999999999</v>
      </c>
      <c r="I823" t="str">
        <f>IF(Table1[[#This Row],[in_stock]]=TRUE,"Available","Out of stock")</f>
        <v>Available</v>
      </c>
      <c r="J823" t="str">
        <f>IF(Table1[[#This Row],[rating]]&gt;=4,"High",IF(Table1[[#This Row],[rating]]&gt;=2.5,"Medium","Low"))</f>
        <v>High</v>
      </c>
      <c r="K823" t="str">
        <f>IF(Table1[[#This Row],[price]]&lt;200,"Budget",IF(Table1[[#This Row],[price]]&lt;600,"Mid-Range",IF(Table1[[#This Row],[price]]&lt;1000,"Premium","Luxury")))</f>
        <v>Mid-Range</v>
      </c>
      <c r="L823" t="str">
        <f>IF(Table1[[#This Row],[units_sold]]&lt;50,"Very Low",IF(Table1[[#This Row],[units_sold]]&lt;150,"Low",IF(Table1[[#This Row],[units_sold]]&lt;300,"Medium","High")))</f>
        <v>Low</v>
      </c>
      <c r="M823" t="str">
        <f t="shared" si="25"/>
        <v>Normal</v>
      </c>
      <c r="N823">
        <f>(Table1[[#This Row],[price]]*0.7)</f>
        <v>205.50599999999997</v>
      </c>
    </row>
    <row r="824" spans="1:14" x14ac:dyDescent="0.35">
      <c r="A824" t="str">
        <f t="shared" si="24"/>
        <v>P823</v>
      </c>
      <c r="B824" t="s">
        <v>12</v>
      </c>
      <c r="C824" t="s">
        <v>7</v>
      </c>
      <c r="D824">
        <v>87.98</v>
      </c>
      <c r="E824">
        <v>422</v>
      </c>
      <c r="F824">
        <v>3.2</v>
      </c>
      <c r="G824" t="b">
        <v>1</v>
      </c>
      <c r="H824">
        <f>(Table1[[#This Row],[price]]*Table1[[#This Row],[units_sold]])</f>
        <v>37127.560000000005</v>
      </c>
      <c r="I824" t="str">
        <f>IF(Table1[[#This Row],[in_stock]]=TRUE,"Available","Out of stock")</f>
        <v>Available</v>
      </c>
      <c r="J824" t="str">
        <f>IF(Table1[[#This Row],[rating]]&gt;=4,"High",IF(Table1[[#This Row],[rating]]&gt;=2.5,"Medium","Low"))</f>
        <v>Medium</v>
      </c>
      <c r="K824" t="str">
        <f>IF(Table1[[#This Row],[price]]&lt;200,"Budget",IF(Table1[[#This Row],[price]]&lt;600,"Mid-Range",IF(Table1[[#This Row],[price]]&lt;1000,"Premium","Luxury")))</f>
        <v>Budget</v>
      </c>
      <c r="L824" t="str">
        <f>IF(Table1[[#This Row],[units_sold]]&lt;50,"Very Low",IF(Table1[[#This Row],[units_sold]]&lt;150,"Low",IF(Table1[[#This Row],[units_sold]]&lt;300,"Medium","High")))</f>
        <v>High</v>
      </c>
      <c r="M824" t="str">
        <f t="shared" si="25"/>
        <v>Normal</v>
      </c>
      <c r="N824">
        <f>(Table1[[#This Row],[price]]*0.7)</f>
        <v>61.585999999999999</v>
      </c>
    </row>
    <row r="825" spans="1:14" x14ac:dyDescent="0.35">
      <c r="A825" t="str">
        <f t="shared" si="24"/>
        <v>P824</v>
      </c>
      <c r="B825" t="s">
        <v>15</v>
      </c>
      <c r="C825" t="s">
        <v>7</v>
      </c>
      <c r="D825">
        <v>573.92999999999995</v>
      </c>
      <c r="E825">
        <v>437</v>
      </c>
      <c r="F825">
        <v>1.8</v>
      </c>
      <c r="G825" t="b">
        <v>1</v>
      </c>
      <c r="H825">
        <f>(Table1[[#This Row],[price]]*Table1[[#This Row],[units_sold]])</f>
        <v>250807.40999999997</v>
      </c>
      <c r="I825" t="str">
        <f>IF(Table1[[#This Row],[in_stock]]=TRUE,"Available","Out of stock")</f>
        <v>Available</v>
      </c>
      <c r="J825" t="str">
        <f>IF(Table1[[#This Row],[rating]]&gt;=4,"High",IF(Table1[[#This Row],[rating]]&gt;=2.5,"Medium","Low"))</f>
        <v>Low</v>
      </c>
      <c r="K825" t="str">
        <f>IF(Table1[[#This Row],[price]]&lt;200,"Budget",IF(Table1[[#This Row],[price]]&lt;600,"Mid-Range",IF(Table1[[#This Row],[price]]&lt;1000,"Premium","Luxury")))</f>
        <v>Mid-Range</v>
      </c>
      <c r="L825" t="str">
        <f>IF(Table1[[#This Row],[units_sold]]&lt;50,"Very Low",IF(Table1[[#This Row],[units_sold]]&lt;150,"Low",IF(Table1[[#This Row],[units_sold]]&lt;300,"Medium","High")))</f>
        <v>High</v>
      </c>
      <c r="M825" t="str">
        <f t="shared" si="25"/>
        <v>Normal</v>
      </c>
      <c r="N825">
        <f>(Table1[[#This Row],[price]]*0.7)</f>
        <v>401.75099999999992</v>
      </c>
    </row>
    <row r="826" spans="1:14" x14ac:dyDescent="0.35">
      <c r="A826" t="str">
        <f t="shared" si="24"/>
        <v>P825</v>
      </c>
      <c r="B826" t="s">
        <v>17</v>
      </c>
      <c r="C826" t="s">
        <v>7</v>
      </c>
      <c r="D826">
        <v>550.79</v>
      </c>
      <c r="E826">
        <v>317</v>
      </c>
      <c r="F826">
        <v>3.5</v>
      </c>
      <c r="G826" t="b">
        <v>1</v>
      </c>
      <c r="H826">
        <f>(Table1[[#This Row],[price]]*Table1[[#This Row],[units_sold]])</f>
        <v>174600.43</v>
      </c>
      <c r="I826" t="str">
        <f>IF(Table1[[#This Row],[in_stock]]=TRUE,"Available","Out of stock")</f>
        <v>Available</v>
      </c>
      <c r="J826" t="str">
        <f>IF(Table1[[#This Row],[rating]]&gt;=4,"High",IF(Table1[[#This Row],[rating]]&gt;=2.5,"Medium","Low"))</f>
        <v>Medium</v>
      </c>
      <c r="K826" t="str">
        <f>IF(Table1[[#This Row],[price]]&lt;200,"Budget",IF(Table1[[#This Row],[price]]&lt;600,"Mid-Range",IF(Table1[[#This Row],[price]]&lt;1000,"Premium","Luxury")))</f>
        <v>Mid-Range</v>
      </c>
      <c r="L826" t="str">
        <f>IF(Table1[[#This Row],[units_sold]]&lt;50,"Very Low",IF(Table1[[#This Row],[units_sold]]&lt;150,"Low",IF(Table1[[#This Row],[units_sold]]&lt;300,"Medium","High")))</f>
        <v>High</v>
      </c>
      <c r="M826" t="str">
        <f t="shared" si="25"/>
        <v>Normal</v>
      </c>
      <c r="N826">
        <f>(Table1[[#This Row],[price]]*0.7)</f>
        <v>385.55299999999994</v>
      </c>
    </row>
    <row r="827" spans="1:14" x14ac:dyDescent="0.35">
      <c r="A827" t="str">
        <f t="shared" si="24"/>
        <v>P826</v>
      </c>
      <c r="B827" t="s">
        <v>10</v>
      </c>
      <c r="C827" t="s">
        <v>9</v>
      </c>
      <c r="D827">
        <v>1493.27</v>
      </c>
      <c r="E827">
        <v>164</v>
      </c>
      <c r="F827">
        <v>4</v>
      </c>
      <c r="G827" t="b">
        <v>1</v>
      </c>
      <c r="H827">
        <f>(Table1[[#This Row],[price]]*Table1[[#This Row],[units_sold]])</f>
        <v>244896.28</v>
      </c>
      <c r="I827" t="str">
        <f>IF(Table1[[#This Row],[in_stock]]=TRUE,"Available","Out of stock")</f>
        <v>Available</v>
      </c>
      <c r="J827" t="str">
        <f>IF(Table1[[#This Row],[rating]]&gt;=4,"High",IF(Table1[[#This Row],[rating]]&gt;=2.5,"Medium","Low"))</f>
        <v>High</v>
      </c>
      <c r="K827" t="str">
        <f>IF(Table1[[#This Row],[price]]&lt;200,"Budget",IF(Table1[[#This Row],[price]]&lt;600,"Mid-Range",IF(Table1[[#This Row],[price]]&lt;1000,"Premium","Luxury")))</f>
        <v>Luxury</v>
      </c>
      <c r="L827" t="str">
        <f>IF(Table1[[#This Row],[units_sold]]&lt;50,"Very Low",IF(Table1[[#This Row],[units_sold]]&lt;150,"Low",IF(Table1[[#This Row],[units_sold]]&lt;300,"Medium","High")))</f>
        <v>Medium</v>
      </c>
      <c r="M827" t="str">
        <f t="shared" si="25"/>
        <v>Normal</v>
      </c>
      <c r="N827">
        <f>(Table1[[#This Row],[price]]*0.7)</f>
        <v>1045.289</v>
      </c>
    </row>
    <row r="828" spans="1:14" x14ac:dyDescent="0.35">
      <c r="A828" t="str">
        <f t="shared" si="24"/>
        <v>P827</v>
      </c>
      <c r="B828" t="s">
        <v>11</v>
      </c>
      <c r="C828" t="s">
        <v>9</v>
      </c>
      <c r="D828">
        <v>675.07</v>
      </c>
      <c r="E828">
        <v>424</v>
      </c>
      <c r="F828">
        <v>4</v>
      </c>
      <c r="G828" t="b">
        <v>1</v>
      </c>
      <c r="H828">
        <f>(Table1[[#This Row],[price]]*Table1[[#This Row],[units_sold]])</f>
        <v>286229.68</v>
      </c>
      <c r="I828" t="str">
        <f>IF(Table1[[#This Row],[in_stock]]=TRUE,"Available","Out of stock")</f>
        <v>Available</v>
      </c>
      <c r="J828" t="str">
        <f>IF(Table1[[#This Row],[rating]]&gt;=4,"High",IF(Table1[[#This Row],[rating]]&gt;=2.5,"Medium","Low"))</f>
        <v>High</v>
      </c>
      <c r="K828" t="str">
        <f>IF(Table1[[#This Row],[price]]&lt;200,"Budget",IF(Table1[[#This Row],[price]]&lt;600,"Mid-Range",IF(Table1[[#This Row],[price]]&lt;1000,"Premium","Luxury")))</f>
        <v>Premium</v>
      </c>
      <c r="L828" t="str">
        <f>IF(Table1[[#This Row],[units_sold]]&lt;50,"Very Low",IF(Table1[[#This Row],[units_sold]]&lt;150,"Low",IF(Table1[[#This Row],[units_sold]]&lt;300,"Medium","High")))</f>
        <v>High</v>
      </c>
      <c r="M828" t="str">
        <f t="shared" si="25"/>
        <v>Normal</v>
      </c>
      <c r="N828">
        <f>(Table1[[#This Row],[price]]*0.7)</f>
        <v>472.54899999999998</v>
      </c>
    </row>
    <row r="829" spans="1:14" x14ac:dyDescent="0.35">
      <c r="A829" t="str">
        <f t="shared" si="24"/>
        <v>P828</v>
      </c>
      <c r="B829" t="s">
        <v>6</v>
      </c>
      <c r="C829" t="s">
        <v>7</v>
      </c>
      <c r="D829">
        <v>507.02</v>
      </c>
      <c r="E829">
        <v>465</v>
      </c>
      <c r="F829">
        <v>3.1</v>
      </c>
      <c r="G829" t="b">
        <v>1</v>
      </c>
      <c r="H829">
        <f>(Table1[[#This Row],[price]]*Table1[[#This Row],[units_sold]])</f>
        <v>235764.3</v>
      </c>
      <c r="I829" t="str">
        <f>IF(Table1[[#This Row],[in_stock]]=TRUE,"Available","Out of stock")</f>
        <v>Available</v>
      </c>
      <c r="J829" t="str">
        <f>IF(Table1[[#This Row],[rating]]&gt;=4,"High",IF(Table1[[#This Row],[rating]]&gt;=2.5,"Medium","Low"))</f>
        <v>Medium</v>
      </c>
      <c r="K829" t="str">
        <f>IF(Table1[[#This Row],[price]]&lt;200,"Budget",IF(Table1[[#This Row],[price]]&lt;600,"Mid-Range",IF(Table1[[#This Row],[price]]&lt;1000,"Premium","Luxury")))</f>
        <v>Mid-Range</v>
      </c>
      <c r="L829" t="str">
        <f>IF(Table1[[#This Row],[units_sold]]&lt;50,"Very Low",IF(Table1[[#This Row],[units_sold]]&lt;150,"Low",IF(Table1[[#This Row],[units_sold]]&lt;300,"Medium","High")))</f>
        <v>High</v>
      </c>
      <c r="M829" t="str">
        <f t="shared" si="25"/>
        <v>Normal</v>
      </c>
      <c r="N829">
        <f>(Table1[[#This Row],[price]]*0.7)</f>
        <v>354.91399999999999</v>
      </c>
    </row>
    <row r="830" spans="1:14" x14ac:dyDescent="0.35">
      <c r="A830" t="str">
        <f t="shared" si="24"/>
        <v>P829</v>
      </c>
      <c r="B830" t="s">
        <v>15</v>
      </c>
      <c r="C830" t="s">
        <v>7</v>
      </c>
      <c r="D830">
        <v>874.91</v>
      </c>
      <c r="E830">
        <v>286</v>
      </c>
      <c r="F830">
        <v>1.3</v>
      </c>
      <c r="G830" t="b">
        <v>1</v>
      </c>
      <c r="H830">
        <f>(Table1[[#This Row],[price]]*Table1[[#This Row],[units_sold]])</f>
        <v>250224.25999999998</v>
      </c>
      <c r="I830" t="str">
        <f>IF(Table1[[#This Row],[in_stock]]=TRUE,"Available","Out of stock")</f>
        <v>Available</v>
      </c>
      <c r="J830" t="str">
        <f>IF(Table1[[#This Row],[rating]]&gt;=4,"High",IF(Table1[[#This Row],[rating]]&gt;=2.5,"Medium","Low"))</f>
        <v>Low</v>
      </c>
      <c r="K830" t="str">
        <f>IF(Table1[[#This Row],[price]]&lt;200,"Budget",IF(Table1[[#This Row],[price]]&lt;600,"Mid-Range",IF(Table1[[#This Row],[price]]&lt;1000,"Premium","Luxury")))</f>
        <v>Premium</v>
      </c>
      <c r="L830" t="str">
        <f>IF(Table1[[#This Row],[units_sold]]&lt;50,"Very Low",IF(Table1[[#This Row],[units_sold]]&lt;150,"Low",IF(Table1[[#This Row],[units_sold]]&lt;300,"Medium","High")))</f>
        <v>Medium</v>
      </c>
      <c r="M830" t="str">
        <f t="shared" si="25"/>
        <v>Normal</v>
      </c>
      <c r="N830">
        <f>(Table1[[#This Row],[price]]*0.7)</f>
        <v>612.4369999999999</v>
      </c>
    </row>
    <row r="831" spans="1:14" x14ac:dyDescent="0.35">
      <c r="A831" t="str">
        <f t="shared" si="24"/>
        <v>P830</v>
      </c>
      <c r="B831" t="s">
        <v>12</v>
      </c>
      <c r="C831" t="s">
        <v>7</v>
      </c>
      <c r="D831">
        <v>142.26</v>
      </c>
      <c r="E831">
        <v>265</v>
      </c>
      <c r="F831">
        <v>2.5</v>
      </c>
      <c r="G831" t="b">
        <v>1</v>
      </c>
      <c r="H831">
        <f>(Table1[[#This Row],[price]]*Table1[[#This Row],[units_sold]])</f>
        <v>37698.899999999994</v>
      </c>
      <c r="I831" t="str">
        <f>IF(Table1[[#This Row],[in_stock]]=TRUE,"Available","Out of stock")</f>
        <v>Available</v>
      </c>
      <c r="J831" t="str">
        <f>IF(Table1[[#This Row],[rating]]&gt;=4,"High",IF(Table1[[#This Row],[rating]]&gt;=2.5,"Medium","Low"))</f>
        <v>Medium</v>
      </c>
      <c r="K831" t="str">
        <f>IF(Table1[[#This Row],[price]]&lt;200,"Budget",IF(Table1[[#This Row],[price]]&lt;600,"Mid-Range",IF(Table1[[#This Row],[price]]&lt;1000,"Premium","Luxury")))</f>
        <v>Budget</v>
      </c>
      <c r="L831" t="str">
        <f>IF(Table1[[#This Row],[units_sold]]&lt;50,"Very Low",IF(Table1[[#This Row],[units_sold]]&lt;150,"Low",IF(Table1[[#This Row],[units_sold]]&lt;300,"Medium","High")))</f>
        <v>Medium</v>
      </c>
      <c r="M831" t="str">
        <f t="shared" si="25"/>
        <v>Normal</v>
      </c>
      <c r="N831">
        <f>(Table1[[#This Row],[price]]*0.7)</f>
        <v>99.581999999999994</v>
      </c>
    </row>
    <row r="832" spans="1:14" x14ac:dyDescent="0.35">
      <c r="A832" t="str">
        <f t="shared" si="24"/>
        <v>P831</v>
      </c>
      <c r="B832" t="s">
        <v>8</v>
      </c>
      <c r="C832" t="s">
        <v>9</v>
      </c>
      <c r="D832">
        <v>1442.88</v>
      </c>
      <c r="E832">
        <v>320</v>
      </c>
      <c r="F832">
        <v>4.7</v>
      </c>
      <c r="G832" t="b">
        <v>1</v>
      </c>
      <c r="H832">
        <f>(Table1[[#This Row],[price]]*Table1[[#This Row],[units_sold]])</f>
        <v>461721.60000000003</v>
      </c>
      <c r="I832" t="str">
        <f>IF(Table1[[#This Row],[in_stock]]=TRUE,"Available","Out of stock")</f>
        <v>Available</v>
      </c>
      <c r="J832" t="str">
        <f>IF(Table1[[#This Row],[rating]]&gt;=4,"High",IF(Table1[[#This Row],[rating]]&gt;=2.5,"Medium","Low"))</f>
        <v>High</v>
      </c>
      <c r="K832" t="str">
        <f>IF(Table1[[#This Row],[price]]&lt;200,"Budget",IF(Table1[[#This Row],[price]]&lt;600,"Mid-Range",IF(Table1[[#This Row],[price]]&lt;1000,"Premium","Luxury")))</f>
        <v>Luxury</v>
      </c>
      <c r="L832" t="str">
        <f>IF(Table1[[#This Row],[units_sold]]&lt;50,"Very Low",IF(Table1[[#This Row],[units_sold]]&lt;150,"Low",IF(Table1[[#This Row],[units_sold]]&lt;300,"Medium","High")))</f>
        <v>High</v>
      </c>
      <c r="M832" t="str">
        <f t="shared" si="25"/>
        <v>Normal</v>
      </c>
      <c r="N832">
        <f>(Table1[[#This Row],[price]]*0.7)</f>
        <v>1010.016</v>
      </c>
    </row>
    <row r="833" spans="1:14" x14ac:dyDescent="0.35">
      <c r="A833" t="str">
        <f t="shared" si="24"/>
        <v>P832</v>
      </c>
      <c r="B833" t="s">
        <v>16</v>
      </c>
      <c r="C833" t="s">
        <v>9</v>
      </c>
      <c r="D833">
        <v>956.09</v>
      </c>
      <c r="E833">
        <v>161</v>
      </c>
      <c r="F833">
        <v>3.3</v>
      </c>
      <c r="G833" t="b">
        <v>1</v>
      </c>
      <c r="H833">
        <f>(Table1[[#This Row],[price]]*Table1[[#This Row],[units_sold]])</f>
        <v>153930.49</v>
      </c>
      <c r="I833" t="str">
        <f>IF(Table1[[#This Row],[in_stock]]=TRUE,"Available","Out of stock")</f>
        <v>Available</v>
      </c>
      <c r="J833" t="str">
        <f>IF(Table1[[#This Row],[rating]]&gt;=4,"High",IF(Table1[[#This Row],[rating]]&gt;=2.5,"Medium","Low"))</f>
        <v>Medium</v>
      </c>
      <c r="K833" t="str">
        <f>IF(Table1[[#This Row],[price]]&lt;200,"Budget",IF(Table1[[#This Row],[price]]&lt;600,"Mid-Range",IF(Table1[[#This Row],[price]]&lt;1000,"Premium","Luxury")))</f>
        <v>Premium</v>
      </c>
      <c r="L833" t="str">
        <f>IF(Table1[[#This Row],[units_sold]]&lt;50,"Very Low",IF(Table1[[#This Row],[units_sold]]&lt;150,"Low",IF(Table1[[#This Row],[units_sold]]&lt;300,"Medium","High")))</f>
        <v>Medium</v>
      </c>
      <c r="M833" t="str">
        <f t="shared" si="25"/>
        <v>Normal</v>
      </c>
      <c r="N833">
        <f>(Table1[[#This Row],[price]]*0.7)</f>
        <v>669.26300000000003</v>
      </c>
    </row>
    <row r="834" spans="1:14" x14ac:dyDescent="0.35">
      <c r="A834" t="str">
        <f t="shared" ref="A834:A897" si="26">"P"&amp;TEXT(ROW()-1,"000")</f>
        <v>P833</v>
      </c>
      <c r="B834" t="s">
        <v>12</v>
      </c>
      <c r="C834" t="s">
        <v>7</v>
      </c>
      <c r="D834">
        <v>1134.71</v>
      </c>
      <c r="E834">
        <v>376</v>
      </c>
      <c r="F834">
        <v>3.2</v>
      </c>
      <c r="G834" t="b">
        <v>0</v>
      </c>
      <c r="H834">
        <f>(Table1[[#This Row],[price]]*Table1[[#This Row],[units_sold]])</f>
        <v>426650.96</v>
      </c>
      <c r="I834" t="str">
        <f>IF(Table1[[#This Row],[in_stock]]=TRUE,"Available","Out of stock")</f>
        <v>Out of stock</v>
      </c>
      <c r="J834" t="str">
        <f>IF(Table1[[#This Row],[rating]]&gt;=4,"High",IF(Table1[[#This Row],[rating]]&gt;=2.5,"Medium","Low"))</f>
        <v>Medium</v>
      </c>
      <c r="K834" t="str">
        <f>IF(Table1[[#This Row],[price]]&lt;200,"Budget",IF(Table1[[#This Row],[price]]&lt;600,"Mid-Range",IF(Table1[[#This Row],[price]]&lt;1000,"Premium","Luxury")))</f>
        <v>Luxury</v>
      </c>
      <c r="L834" t="str">
        <f>IF(Table1[[#This Row],[units_sold]]&lt;50,"Very Low",IF(Table1[[#This Row],[units_sold]]&lt;150,"Low",IF(Table1[[#This Row],[units_sold]]&lt;300,"Medium","High")))</f>
        <v>High</v>
      </c>
      <c r="M834" t="str">
        <f t="shared" ref="M834:M897" si="27">IF(AND(E834&gt;300,G834=FALSE),"High Demand - Out of Stock","Normal")</f>
        <v>High Demand - Out of Stock</v>
      </c>
      <c r="N834">
        <f>(Table1[[#This Row],[price]]*0.7)</f>
        <v>794.29700000000003</v>
      </c>
    </row>
    <row r="835" spans="1:14" x14ac:dyDescent="0.35">
      <c r="A835" t="str">
        <f t="shared" si="26"/>
        <v>P834</v>
      </c>
      <c r="B835" t="s">
        <v>15</v>
      </c>
      <c r="C835" t="s">
        <v>7</v>
      </c>
      <c r="D835">
        <v>264.01</v>
      </c>
      <c r="E835">
        <v>308</v>
      </c>
      <c r="F835">
        <v>2.1</v>
      </c>
      <c r="G835" t="b">
        <v>0</v>
      </c>
      <c r="H835">
        <f>(Table1[[#This Row],[price]]*Table1[[#This Row],[units_sold]])</f>
        <v>81315.08</v>
      </c>
      <c r="I835" t="str">
        <f>IF(Table1[[#This Row],[in_stock]]=TRUE,"Available","Out of stock")</f>
        <v>Out of stock</v>
      </c>
      <c r="J835" t="str">
        <f>IF(Table1[[#This Row],[rating]]&gt;=4,"High",IF(Table1[[#This Row],[rating]]&gt;=2.5,"Medium","Low"))</f>
        <v>Low</v>
      </c>
      <c r="K835" t="str">
        <f>IF(Table1[[#This Row],[price]]&lt;200,"Budget",IF(Table1[[#This Row],[price]]&lt;600,"Mid-Range",IF(Table1[[#This Row],[price]]&lt;1000,"Premium","Luxury")))</f>
        <v>Mid-Range</v>
      </c>
      <c r="L835" t="str">
        <f>IF(Table1[[#This Row],[units_sold]]&lt;50,"Very Low",IF(Table1[[#This Row],[units_sold]]&lt;150,"Low",IF(Table1[[#This Row],[units_sold]]&lt;300,"Medium","High")))</f>
        <v>High</v>
      </c>
      <c r="M835" t="str">
        <f t="shared" si="27"/>
        <v>High Demand - Out of Stock</v>
      </c>
      <c r="N835">
        <f>(Table1[[#This Row],[price]]*0.7)</f>
        <v>184.80699999999999</v>
      </c>
    </row>
    <row r="836" spans="1:14" x14ac:dyDescent="0.35">
      <c r="A836" t="str">
        <f t="shared" si="26"/>
        <v>P835</v>
      </c>
      <c r="B836" t="s">
        <v>12</v>
      </c>
      <c r="C836" t="s">
        <v>7</v>
      </c>
      <c r="D836">
        <v>620.12</v>
      </c>
      <c r="E836">
        <v>89</v>
      </c>
      <c r="F836">
        <v>2.5</v>
      </c>
      <c r="G836" t="b">
        <v>1</v>
      </c>
      <c r="H836">
        <f>(Table1[[#This Row],[price]]*Table1[[#This Row],[units_sold]])</f>
        <v>55190.68</v>
      </c>
      <c r="I836" t="str">
        <f>IF(Table1[[#This Row],[in_stock]]=TRUE,"Available","Out of stock")</f>
        <v>Available</v>
      </c>
      <c r="J836" t="str">
        <f>IF(Table1[[#This Row],[rating]]&gt;=4,"High",IF(Table1[[#This Row],[rating]]&gt;=2.5,"Medium","Low"))</f>
        <v>Medium</v>
      </c>
      <c r="K836" t="str">
        <f>IF(Table1[[#This Row],[price]]&lt;200,"Budget",IF(Table1[[#This Row],[price]]&lt;600,"Mid-Range",IF(Table1[[#This Row],[price]]&lt;1000,"Premium","Luxury")))</f>
        <v>Premium</v>
      </c>
      <c r="L836" t="str">
        <f>IF(Table1[[#This Row],[units_sold]]&lt;50,"Very Low",IF(Table1[[#This Row],[units_sold]]&lt;150,"Low",IF(Table1[[#This Row],[units_sold]]&lt;300,"Medium","High")))</f>
        <v>Low</v>
      </c>
      <c r="M836" t="str">
        <f t="shared" si="27"/>
        <v>Normal</v>
      </c>
      <c r="N836">
        <f>(Table1[[#This Row],[price]]*0.7)</f>
        <v>434.084</v>
      </c>
    </row>
    <row r="837" spans="1:14" x14ac:dyDescent="0.35">
      <c r="A837" t="str">
        <f t="shared" si="26"/>
        <v>P836</v>
      </c>
      <c r="B837" t="s">
        <v>15</v>
      </c>
      <c r="C837" t="s">
        <v>7</v>
      </c>
      <c r="D837">
        <v>639.80999999999995</v>
      </c>
      <c r="E837">
        <v>142</v>
      </c>
      <c r="F837">
        <v>4.5999999999999996</v>
      </c>
      <c r="G837" t="b">
        <v>1</v>
      </c>
      <c r="H837">
        <f>(Table1[[#This Row],[price]]*Table1[[#This Row],[units_sold]])</f>
        <v>90853.01999999999</v>
      </c>
      <c r="I837" t="str">
        <f>IF(Table1[[#This Row],[in_stock]]=TRUE,"Available","Out of stock")</f>
        <v>Available</v>
      </c>
      <c r="J837" t="str">
        <f>IF(Table1[[#This Row],[rating]]&gt;=4,"High",IF(Table1[[#This Row],[rating]]&gt;=2.5,"Medium","Low"))</f>
        <v>High</v>
      </c>
      <c r="K837" t="str">
        <f>IF(Table1[[#This Row],[price]]&lt;200,"Budget",IF(Table1[[#This Row],[price]]&lt;600,"Mid-Range",IF(Table1[[#This Row],[price]]&lt;1000,"Premium","Luxury")))</f>
        <v>Premium</v>
      </c>
      <c r="L837" t="str">
        <f>IF(Table1[[#This Row],[units_sold]]&lt;50,"Very Low",IF(Table1[[#This Row],[units_sold]]&lt;150,"Low",IF(Table1[[#This Row],[units_sold]]&lt;300,"Medium","High")))</f>
        <v>Low</v>
      </c>
      <c r="M837" t="str">
        <f t="shared" si="27"/>
        <v>Normal</v>
      </c>
      <c r="N837">
        <f>(Table1[[#This Row],[price]]*0.7)</f>
        <v>447.86699999999996</v>
      </c>
    </row>
    <row r="838" spans="1:14" x14ac:dyDescent="0.35">
      <c r="A838" t="str">
        <f t="shared" si="26"/>
        <v>P837</v>
      </c>
      <c r="B838" t="s">
        <v>15</v>
      </c>
      <c r="C838" t="s">
        <v>7</v>
      </c>
      <c r="D838">
        <v>1234.49</v>
      </c>
      <c r="E838">
        <v>203</v>
      </c>
      <c r="F838">
        <v>3.7</v>
      </c>
      <c r="G838" t="b">
        <v>1</v>
      </c>
      <c r="H838">
        <f>(Table1[[#This Row],[price]]*Table1[[#This Row],[units_sold]])</f>
        <v>250601.47</v>
      </c>
      <c r="I838" t="str">
        <f>IF(Table1[[#This Row],[in_stock]]=TRUE,"Available","Out of stock")</f>
        <v>Available</v>
      </c>
      <c r="J838" t="str">
        <f>IF(Table1[[#This Row],[rating]]&gt;=4,"High",IF(Table1[[#This Row],[rating]]&gt;=2.5,"Medium","Low"))</f>
        <v>Medium</v>
      </c>
      <c r="K838" t="str">
        <f>IF(Table1[[#This Row],[price]]&lt;200,"Budget",IF(Table1[[#This Row],[price]]&lt;600,"Mid-Range",IF(Table1[[#This Row],[price]]&lt;1000,"Premium","Luxury")))</f>
        <v>Luxury</v>
      </c>
      <c r="L838" t="str">
        <f>IF(Table1[[#This Row],[units_sold]]&lt;50,"Very Low",IF(Table1[[#This Row],[units_sold]]&lt;150,"Low",IF(Table1[[#This Row],[units_sold]]&lt;300,"Medium","High")))</f>
        <v>Medium</v>
      </c>
      <c r="M838" t="str">
        <f t="shared" si="27"/>
        <v>Normal</v>
      </c>
      <c r="N838">
        <f>(Table1[[#This Row],[price]]*0.7)</f>
        <v>864.14299999999992</v>
      </c>
    </row>
    <row r="839" spans="1:14" x14ac:dyDescent="0.35">
      <c r="A839" t="str">
        <f t="shared" si="26"/>
        <v>P838</v>
      </c>
      <c r="B839" t="s">
        <v>14</v>
      </c>
      <c r="C839" t="s">
        <v>9</v>
      </c>
      <c r="D839">
        <v>11.84</v>
      </c>
      <c r="E839">
        <v>309</v>
      </c>
      <c r="F839">
        <v>4.0999999999999996</v>
      </c>
      <c r="G839" t="b">
        <v>1</v>
      </c>
      <c r="H839">
        <f>(Table1[[#This Row],[price]]*Table1[[#This Row],[units_sold]])</f>
        <v>3658.56</v>
      </c>
      <c r="I839" t="str">
        <f>IF(Table1[[#This Row],[in_stock]]=TRUE,"Available","Out of stock")</f>
        <v>Available</v>
      </c>
      <c r="J839" t="str">
        <f>IF(Table1[[#This Row],[rating]]&gt;=4,"High",IF(Table1[[#This Row],[rating]]&gt;=2.5,"Medium","Low"))</f>
        <v>High</v>
      </c>
      <c r="K839" t="str">
        <f>IF(Table1[[#This Row],[price]]&lt;200,"Budget",IF(Table1[[#This Row],[price]]&lt;600,"Mid-Range",IF(Table1[[#This Row],[price]]&lt;1000,"Premium","Luxury")))</f>
        <v>Budget</v>
      </c>
      <c r="L839" t="str">
        <f>IF(Table1[[#This Row],[units_sold]]&lt;50,"Very Low",IF(Table1[[#This Row],[units_sold]]&lt;150,"Low",IF(Table1[[#This Row],[units_sold]]&lt;300,"Medium","High")))</f>
        <v>High</v>
      </c>
      <c r="M839" t="str">
        <f t="shared" si="27"/>
        <v>Normal</v>
      </c>
      <c r="N839">
        <f>(Table1[[#This Row],[price]]*0.7)</f>
        <v>8.2880000000000003</v>
      </c>
    </row>
    <row r="840" spans="1:14" x14ac:dyDescent="0.35">
      <c r="A840" t="str">
        <f t="shared" si="26"/>
        <v>P839</v>
      </c>
      <c r="B840" t="s">
        <v>17</v>
      </c>
      <c r="C840" t="s">
        <v>7</v>
      </c>
      <c r="D840">
        <v>458.27</v>
      </c>
      <c r="E840">
        <v>227</v>
      </c>
      <c r="F840">
        <v>2.8</v>
      </c>
      <c r="G840" t="b">
        <v>1</v>
      </c>
      <c r="H840">
        <f>(Table1[[#This Row],[price]]*Table1[[#This Row],[units_sold]])</f>
        <v>104027.29</v>
      </c>
      <c r="I840" t="str">
        <f>IF(Table1[[#This Row],[in_stock]]=TRUE,"Available","Out of stock")</f>
        <v>Available</v>
      </c>
      <c r="J840" t="str">
        <f>IF(Table1[[#This Row],[rating]]&gt;=4,"High",IF(Table1[[#This Row],[rating]]&gt;=2.5,"Medium","Low"))</f>
        <v>Medium</v>
      </c>
      <c r="K840" t="str">
        <f>IF(Table1[[#This Row],[price]]&lt;200,"Budget",IF(Table1[[#This Row],[price]]&lt;600,"Mid-Range",IF(Table1[[#This Row],[price]]&lt;1000,"Premium","Luxury")))</f>
        <v>Mid-Range</v>
      </c>
      <c r="L840" t="str">
        <f>IF(Table1[[#This Row],[units_sold]]&lt;50,"Very Low",IF(Table1[[#This Row],[units_sold]]&lt;150,"Low",IF(Table1[[#This Row],[units_sold]]&lt;300,"Medium","High")))</f>
        <v>Medium</v>
      </c>
      <c r="M840" t="str">
        <f t="shared" si="27"/>
        <v>Normal</v>
      </c>
      <c r="N840">
        <f>(Table1[[#This Row],[price]]*0.7)</f>
        <v>320.78899999999999</v>
      </c>
    </row>
    <row r="841" spans="1:14" x14ac:dyDescent="0.35">
      <c r="A841" t="str">
        <f t="shared" si="26"/>
        <v>P840</v>
      </c>
      <c r="B841" t="s">
        <v>6</v>
      </c>
      <c r="C841" t="s">
        <v>7</v>
      </c>
      <c r="D841">
        <v>1472.04</v>
      </c>
      <c r="E841">
        <v>489</v>
      </c>
      <c r="F841">
        <v>3.5</v>
      </c>
      <c r="G841" t="b">
        <v>1</v>
      </c>
      <c r="H841">
        <f>(Table1[[#This Row],[price]]*Table1[[#This Row],[units_sold]])</f>
        <v>719827.55999999994</v>
      </c>
      <c r="I841" t="str">
        <f>IF(Table1[[#This Row],[in_stock]]=TRUE,"Available","Out of stock")</f>
        <v>Available</v>
      </c>
      <c r="J841" t="str">
        <f>IF(Table1[[#This Row],[rating]]&gt;=4,"High",IF(Table1[[#This Row],[rating]]&gt;=2.5,"Medium","Low"))</f>
        <v>Medium</v>
      </c>
      <c r="K841" t="str">
        <f>IF(Table1[[#This Row],[price]]&lt;200,"Budget",IF(Table1[[#This Row],[price]]&lt;600,"Mid-Range",IF(Table1[[#This Row],[price]]&lt;1000,"Premium","Luxury")))</f>
        <v>Luxury</v>
      </c>
      <c r="L841" t="str">
        <f>IF(Table1[[#This Row],[units_sold]]&lt;50,"Very Low",IF(Table1[[#This Row],[units_sold]]&lt;150,"Low",IF(Table1[[#This Row],[units_sold]]&lt;300,"Medium","High")))</f>
        <v>High</v>
      </c>
      <c r="M841" t="str">
        <f t="shared" si="27"/>
        <v>Normal</v>
      </c>
      <c r="N841">
        <f>(Table1[[#This Row],[price]]*0.7)</f>
        <v>1030.4279999999999</v>
      </c>
    </row>
    <row r="842" spans="1:14" x14ac:dyDescent="0.35">
      <c r="A842" t="str">
        <f t="shared" si="26"/>
        <v>P841</v>
      </c>
      <c r="B842" t="s">
        <v>14</v>
      </c>
      <c r="C842" t="s">
        <v>9</v>
      </c>
      <c r="D842">
        <v>717.58</v>
      </c>
      <c r="E842">
        <v>443</v>
      </c>
      <c r="F842">
        <v>2</v>
      </c>
      <c r="G842" t="b">
        <v>1</v>
      </c>
      <c r="H842">
        <f>(Table1[[#This Row],[price]]*Table1[[#This Row],[units_sold]])</f>
        <v>317887.94</v>
      </c>
      <c r="I842" t="str">
        <f>IF(Table1[[#This Row],[in_stock]]=TRUE,"Available","Out of stock")</f>
        <v>Available</v>
      </c>
      <c r="J842" t="str">
        <f>IF(Table1[[#This Row],[rating]]&gt;=4,"High",IF(Table1[[#This Row],[rating]]&gt;=2.5,"Medium","Low"))</f>
        <v>Low</v>
      </c>
      <c r="K842" t="str">
        <f>IF(Table1[[#This Row],[price]]&lt;200,"Budget",IF(Table1[[#This Row],[price]]&lt;600,"Mid-Range",IF(Table1[[#This Row],[price]]&lt;1000,"Premium","Luxury")))</f>
        <v>Premium</v>
      </c>
      <c r="L842" t="str">
        <f>IF(Table1[[#This Row],[units_sold]]&lt;50,"Very Low",IF(Table1[[#This Row],[units_sold]]&lt;150,"Low",IF(Table1[[#This Row],[units_sold]]&lt;300,"Medium","High")))</f>
        <v>High</v>
      </c>
      <c r="M842" t="str">
        <f t="shared" si="27"/>
        <v>Normal</v>
      </c>
      <c r="N842">
        <f>(Table1[[#This Row],[price]]*0.7)</f>
        <v>502.30599999999998</v>
      </c>
    </row>
    <row r="843" spans="1:14" x14ac:dyDescent="0.35">
      <c r="A843" t="str">
        <f t="shared" si="26"/>
        <v>P842</v>
      </c>
      <c r="B843" t="s">
        <v>8</v>
      </c>
      <c r="C843" t="s">
        <v>9</v>
      </c>
      <c r="D843">
        <v>579.96</v>
      </c>
      <c r="E843">
        <v>334</v>
      </c>
      <c r="F843">
        <v>3.8</v>
      </c>
      <c r="G843" t="b">
        <v>1</v>
      </c>
      <c r="H843">
        <f>(Table1[[#This Row],[price]]*Table1[[#This Row],[units_sold]])</f>
        <v>193706.64</v>
      </c>
      <c r="I843" t="str">
        <f>IF(Table1[[#This Row],[in_stock]]=TRUE,"Available","Out of stock")</f>
        <v>Available</v>
      </c>
      <c r="J843" t="str">
        <f>IF(Table1[[#This Row],[rating]]&gt;=4,"High",IF(Table1[[#This Row],[rating]]&gt;=2.5,"Medium","Low"))</f>
        <v>Medium</v>
      </c>
      <c r="K843" t="str">
        <f>IF(Table1[[#This Row],[price]]&lt;200,"Budget",IF(Table1[[#This Row],[price]]&lt;600,"Mid-Range",IF(Table1[[#This Row],[price]]&lt;1000,"Premium","Luxury")))</f>
        <v>Mid-Range</v>
      </c>
      <c r="L843" t="str">
        <f>IF(Table1[[#This Row],[units_sold]]&lt;50,"Very Low",IF(Table1[[#This Row],[units_sold]]&lt;150,"Low",IF(Table1[[#This Row],[units_sold]]&lt;300,"Medium","High")))</f>
        <v>High</v>
      </c>
      <c r="M843" t="str">
        <f t="shared" si="27"/>
        <v>Normal</v>
      </c>
      <c r="N843">
        <f>(Table1[[#This Row],[price]]*0.7)</f>
        <v>405.97199999999998</v>
      </c>
    </row>
    <row r="844" spans="1:14" x14ac:dyDescent="0.35">
      <c r="A844" t="str">
        <f t="shared" si="26"/>
        <v>P843</v>
      </c>
      <c r="B844" t="s">
        <v>14</v>
      </c>
      <c r="C844" t="s">
        <v>9</v>
      </c>
      <c r="D844">
        <v>188.55</v>
      </c>
      <c r="E844">
        <v>222</v>
      </c>
      <c r="F844">
        <v>2.7</v>
      </c>
      <c r="G844" t="b">
        <v>1</v>
      </c>
      <c r="H844">
        <f>(Table1[[#This Row],[price]]*Table1[[#This Row],[units_sold]])</f>
        <v>41858.100000000006</v>
      </c>
      <c r="I844" t="str">
        <f>IF(Table1[[#This Row],[in_stock]]=TRUE,"Available","Out of stock")</f>
        <v>Available</v>
      </c>
      <c r="J844" t="str">
        <f>IF(Table1[[#This Row],[rating]]&gt;=4,"High",IF(Table1[[#This Row],[rating]]&gt;=2.5,"Medium","Low"))</f>
        <v>Medium</v>
      </c>
      <c r="K844" t="str">
        <f>IF(Table1[[#This Row],[price]]&lt;200,"Budget",IF(Table1[[#This Row],[price]]&lt;600,"Mid-Range",IF(Table1[[#This Row],[price]]&lt;1000,"Premium","Luxury")))</f>
        <v>Budget</v>
      </c>
      <c r="L844" t="str">
        <f>IF(Table1[[#This Row],[units_sold]]&lt;50,"Very Low",IF(Table1[[#This Row],[units_sold]]&lt;150,"Low",IF(Table1[[#This Row],[units_sold]]&lt;300,"Medium","High")))</f>
        <v>Medium</v>
      </c>
      <c r="M844" t="str">
        <f t="shared" si="27"/>
        <v>Normal</v>
      </c>
      <c r="N844">
        <f>(Table1[[#This Row],[price]]*0.7)</f>
        <v>131.98500000000001</v>
      </c>
    </row>
    <row r="845" spans="1:14" x14ac:dyDescent="0.35">
      <c r="A845" t="str">
        <f t="shared" si="26"/>
        <v>P844</v>
      </c>
      <c r="B845" t="s">
        <v>13</v>
      </c>
      <c r="C845" t="s">
        <v>9</v>
      </c>
      <c r="D845">
        <v>1461.51</v>
      </c>
      <c r="E845">
        <v>41</v>
      </c>
      <c r="F845">
        <v>2.8</v>
      </c>
      <c r="G845" t="b">
        <v>1</v>
      </c>
      <c r="H845">
        <f>(Table1[[#This Row],[price]]*Table1[[#This Row],[units_sold]])</f>
        <v>59921.909999999996</v>
      </c>
      <c r="I845" t="str">
        <f>IF(Table1[[#This Row],[in_stock]]=TRUE,"Available","Out of stock")</f>
        <v>Available</v>
      </c>
      <c r="J845" t="str">
        <f>IF(Table1[[#This Row],[rating]]&gt;=4,"High",IF(Table1[[#This Row],[rating]]&gt;=2.5,"Medium","Low"))</f>
        <v>Medium</v>
      </c>
      <c r="K845" t="str">
        <f>IF(Table1[[#This Row],[price]]&lt;200,"Budget",IF(Table1[[#This Row],[price]]&lt;600,"Mid-Range",IF(Table1[[#This Row],[price]]&lt;1000,"Premium","Luxury")))</f>
        <v>Luxury</v>
      </c>
      <c r="L845" t="str">
        <f>IF(Table1[[#This Row],[units_sold]]&lt;50,"Very Low",IF(Table1[[#This Row],[units_sold]]&lt;150,"Low",IF(Table1[[#This Row],[units_sold]]&lt;300,"Medium","High")))</f>
        <v>Very Low</v>
      </c>
      <c r="M845" t="str">
        <f t="shared" si="27"/>
        <v>Normal</v>
      </c>
      <c r="N845">
        <f>(Table1[[#This Row],[price]]*0.7)</f>
        <v>1023.0569999999999</v>
      </c>
    </row>
    <row r="846" spans="1:14" x14ac:dyDescent="0.35">
      <c r="A846" t="str">
        <f t="shared" si="26"/>
        <v>P845</v>
      </c>
      <c r="B846" t="s">
        <v>13</v>
      </c>
      <c r="C846" t="s">
        <v>9</v>
      </c>
      <c r="D846">
        <v>39.840000000000003</v>
      </c>
      <c r="E846">
        <v>196</v>
      </c>
      <c r="F846">
        <v>3.6</v>
      </c>
      <c r="G846" t="b">
        <v>1</v>
      </c>
      <c r="H846">
        <f>(Table1[[#This Row],[price]]*Table1[[#This Row],[units_sold]])</f>
        <v>7808.64</v>
      </c>
      <c r="I846" t="str">
        <f>IF(Table1[[#This Row],[in_stock]]=TRUE,"Available","Out of stock")</f>
        <v>Available</v>
      </c>
      <c r="J846" t="str">
        <f>IF(Table1[[#This Row],[rating]]&gt;=4,"High",IF(Table1[[#This Row],[rating]]&gt;=2.5,"Medium","Low"))</f>
        <v>Medium</v>
      </c>
      <c r="K846" t="str">
        <f>IF(Table1[[#This Row],[price]]&lt;200,"Budget",IF(Table1[[#This Row],[price]]&lt;600,"Mid-Range",IF(Table1[[#This Row],[price]]&lt;1000,"Premium","Luxury")))</f>
        <v>Budget</v>
      </c>
      <c r="L846" t="str">
        <f>IF(Table1[[#This Row],[units_sold]]&lt;50,"Very Low",IF(Table1[[#This Row],[units_sold]]&lt;150,"Low",IF(Table1[[#This Row],[units_sold]]&lt;300,"Medium","High")))</f>
        <v>Medium</v>
      </c>
      <c r="M846" t="str">
        <f t="shared" si="27"/>
        <v>Normal</v>
      </c>
      <c r="N846">
        <f>(Table1[[#This Row],[price]]*0.7)</f>
        <v>27.888000000000002</v>
      </c>
    </row>
    <row r="847" spans="1:14" x14ac:dyDescent="0.35">
      <c r="A847" t="str">
        <f t="shared" si="26"/>
        <v>P846</v>
      </c>
      <c r="B847" t="s">
        <v>6</v>
      </c>
      <c r="C847" t="s">
        <v>7</v>
      </c>
      <c r="D847">
        <v>1108.4000000000001</v>
      </c>
      <c r="E847">
        <v>68</v>
      </c>
      <c r="F847">
        <v>4.7</v>
      </c>
      <c r="G847" t="b">
        <v>1</v>
      </c>
      <c r="H847">
        <f>(Table1[[#This Row],[price]]*Table1[[#This Row],[units_sold]])</f>
        <v>75371.200000000012</v>
      </c>
      <c r="I847" t="str">
        <f>IF(Table1[[#This Row],[in_stock]]=TRUE,"Available","Out of stock")</f>
        <v>Available</v>
      </c>
      <c r="J847" t="str">
        <f>IF(Table1[[#This Row],[rating]]&gt;=4,"High",IF(Table1[[#This Row],[rating]]&gt;=2.5,"Medium","Low"))</f>
        <v>High</v>
      </c>
      <c r="K847" t="str">
        <f>IF(Table1[[#This Row],[price]]&lt;200,"Budget",IF(Table1[[#This Row],[price]]&lt;600,"Mid-Range",IF(Table1[[#This Row],[price]]&lt;1000,"Premium","Luxury")))</f>
        <v>Luxury</v>
      </c>
      <c r="L847" t="str">
        <f>IF(Table1[[#This Row],[units_sold]]&lt;50,"Very Low",IF(Table1[[#This Row],[units_sold]]&lt;150,"Low",IF(Table1[[#This Row],[units_sold]]&lt;300,"Medium","High")))</f>
        <v>Low</v>
      </c>
      <c r="M847" t="str">
        <f t="shared" si="27"/>
        <v>Normal</v>
      </c>
      <c r="N847">
        <f>(Table1[[#This Row],[price]]*0.7)</f>
        <v>775.88</v>
      </c>
    </row>
    <row r="848" spans="1:14" x14ac:dyDescent="0.35">
      <c r="A848" t="str">
        <f t="shared" si="26"/>
        <v>P847</v>
      </c>
      <c r="B848" t="s">
        <v>12</v>
      </c>
      <c r="C848" t="s">
        <v>7</v>
      </c>
      <c r="D848">
        <v>1155.21</v>
      </c>
      <c r="E848">
        <v>476</v>
      </c>
      <c r="F848">
        <v>1.3</v>
      </c>
      <c r="G848" t="b">
        <v>0</v>
      </c>
      <c r="H848">
        <f>(Table1[[#This Row],[price]]*Table1[[#This Row],[units_sold]])</f>
        <v>549879.96</v>
      </c>
      <c r="I848" t="str">
        <f>IF(Table1[[#This Row],[in_stock]]=TRUE,"Available","Out of stock")</f>
        <v>Out of stock</v>
      </c>
      <c r="J848" t="str">
        <f>IF(Table1[[#This Row],[rating]]&gt;=4,"High",IF(Table1[[#This Row],[rating]]&gt;=2.5,"Medium","Low"))</f>
        <v>Low</v>
      </c>
      <c r="K848" t="str">
        <f>IF(Table1[[#This Row],[price]]&lt;200,"Budget",IF(Table1[[#This Row],[price]]&lt;600,"Mid-Range",IF(Table1[[#This Row],[price]]&lt;1000,"Premium","Luxury")))</f>
        <v>Luxury</v>
      </c>
      <c r="L848" t="str">
        <f>IF(Table1[[#This Row],[units_sold]]&lt;50,"Very Low",IF(Table1[[#This Row],[units_sold]]&lt;150,"Low",IF(Table1[[#This Row],[units_sold]]&lt;300,"Medium","High")))</f>
        <v>High</v>
      </c>
      <c r="M848" t="str">
        <f t="shared" si="27"/>
        <v>High Demand - Out of Stock</v>
      </c>
      <c r="N848">
        <f>(Table1[[#This Row],[price]]*0.7)</f>
        <v>808.64699999999993</v>
      </c>
    </row>
    <row r="849" spans="1:14" x14ac:dyDescent="0.35">
      <c r="A849" t="str">
        <f t="shared" si="26"/>
        <v>P848</v>
      </c>
      <c r="B849" t="s">
        <v>17</v>
      </c>
      <c r="C849" t="s">
        <v>7</v>
      </c>
      <c r="D849">
        <v>373.05</v>
      </c>
      <c r="E849">
        <v>264</v>
      </c>
      <c r="F849">
        <v>4.3</v>
      </c>
      <c r="G849" t="b">
        <v>0</v>
      </c>
      <c r="H849">
        <f>(Table1[[#This Row],[price]]*Table1[[#This Row],[units_sold]])</f>
        <v>98485.2</v>
      </c>
      <c r="I849" t="str">
        <f>IF(Table1[[#This Row],[in_stock]]=TRUE,"Available","Out of stock")</f>
        <v>Out of stock</v>
      </c>
      <c r="J849" t="str">
        <f>IF(Table1[[#This Row],[rating]]&gt;=4,"High",IF(Table1[[#This Row],[rating]]&gt;=2.5,"Medium","Low"))</f>
        <v>High</v>
      </c>
      <c r="K849" t="str">
        <f>IF(Table1[[#This Row],[price]]&lt;200,"Budget",IF(Table1[[#This Row],[price]]&lt;600,"Mid-Range",IF(Table1[[#This Row],[price]]&lt;1000,"Premium","Luxury")))</f>
        <v>Mid-Range</v>
      </c>
      <c r="L849" t="str">
        <f>IF(Table1[[#This Row],[units_sold]]&lt;50,"Very Low",IF(Table1[[#This Row],[units_sold]]&lt;150,"Low",IF(Table1[[#This Row],[units_sold]]&lt;300,"Medium","High")))</f>
        <v>Medium</v>
      </c>
      <c r="M849" t="str">
        <f t="shared" si="27"/>
        <v>Normal</v>
      </c>
      <c r="N849">
        <f>(Table1[[#This Row],[price]]*0.7)</f>
        <v>261.13499999999999</v>
      </c>
    </row>
    <row r="850" spans="1:14" x14ac:dyDescent="0.35">
      <c r="A850" t="str">
        <f t="shared" si="26"/>
        <v>P849</v>
      </c>
      <c r="B850" t="s">
        <v>6</v>
      </c>
      <c r="C850" t="s">
        <v>7</v>
      </c>
      <c r="D850">
        <v>1010.62</v>
      </c>
      <c r="E850">
        <v>2</v>
      </c>
      <c r="F850">
        <v>2.2000000000000002</v>
      </c>
      <c r="G850" t="b">
        <v>1</v>
      </c>
      <c r="H850">
        <f>(Table1[[#This Row],[price]]*Table1[[#This Row],[units_sold]])</f>
        <v>2021.24</v>
      </c>
      <c r="I850" t="str">
        <f>IF(Table1[[#This Row],[in_stock]]=TRUE,"Available","Out of stock")</f>
        <v>Available</v>
      </c>
      <c r="J850" t="str">
        <f>IF(Table1[[#This Row],[rating]]&gt;=4,"High",IF(Table1[[#This Row],[rating]]&gt;=2.5,"Medium","Low"))</f>
        <v>Low</v>
      </c>
      <c r="K850" t="str">
        <f>IF(Table1[[#This Row],[price]]&lt;200,"Budget",IF(Table1[[#This Row],[price]]&lt;600,"Mid-Range",IF(Table1[[#This Row],[price]]&lt;1000,"Premium","Luxury")))</f>
        <v>Luxury</v>
      </c>
      <c r="L850" t="str">
        <f>IF(Table1[[#This Row],[units_sold]]&lt;50,"Very Low",IF(Table1[[#This Row],[units_sold]]&lt;150,"Low",IF(Table1[[#This Row],[units_sold]]&lt;300,"Medium","High")))</f>
        <v>Very Low</v>
      </c>
      <c r="M850" t="str">
        <f t="shared" si="27"/>
        <v>Normal</v>
      </c>
      <c r="N850">
        <f>(Table1[[#This Row],[price]]*0.7)</f>
        <v>707.43399999999997</v>
      </c>
    </row>
    <row r="851" spans="1:14" x14ac:dyDescent="0.35">
      <c r="A851" t="str">
        <f t="shared" si="26"/>
        <v>P850</v>
      </c>
      <c r="B851" t="s">
        <v>15</v>
      </c>
      <c r="C851" t="s">
        <v>7</v>
      </c>
      <c r="D851">
        <v>148.46</v>
      </c>
      <c r="E851">
        <v>361</v>
      </c>
      <c r="F851">
        <v>2.8</v>
      </c>
      <c r="G851" t="b">
        <v>1</v>
      </c>
      <c r="H851">
        <f>(Table1[[#This Row],[price]]*Table1[[#This Row],[units_sold]])</f>
        <v>53594.060000000005</v>
      </c>
      <c r="I851" t="str">
        <f>IF(Table1[[#This Row],[in_stock]]=TRUE,"Available","Out of stock")</f>
        <v>Available</v>
      </c>
      <c r="J851" t="str">
        <f>IF(Table1[[#This Row],[rating]]&gt;=4,"High",IF(Table1[[#This Row],[rating]]&gt;=2.5,"Medium","Low"))</f>
        <v>Medium</v>
      </c>
      <c r="K851" t="str">
        <f>IF(Table1[[#This Row],[price]]&lt;200,"Budget",IF(Table1[[#This Row],[price]]&lt;600,"Mid-Range",IF(Table1[[#This Row],[price]]&lt;1000,"Premium","Luxury")))</f>
        <v>Budget</v>
      </c>
      <c r="L851" t="str">
        <f>IF(Table1[[#This Row],[units_sold]]&lt;50,"Very Low",IF(Table1[[#This Row],[units_sold]]&lt;150,"Low",IF(Table1[[#This Row],[units_sold]]&lt;300,"Medium","High")))</f>
        <v>High</v>
      </c>
      <c r="M851" t="str">
        <f t="shared" si="27"/>
        <v>Normal</v>
      </c>
      <c r="N851">
        <f>(Table1[[#This Row],[price]]*0.7)</f>
        <v>103.922</v>
      </c>
    </row>
    <row r="852" spans="1:14" x14ac:dyDescent="0.35">
      <c r="A852" t="str">
        <f t="shared" si="26"/>
        <v>P851</v>
      </c>
      <c r="B852" t="s">
        <v>11</v>
      </c>
      <c r="C852" t="s">
        <v>9</v>
      </c>
      <c r="D852">
        <v>393</v>
      </c>
      <c r="E852">
        <v>125</v>
      </c>
      <c r="F852">
        <v>1.1000000000000001</v>
      </c>
      <c r="G852" t="b">
        <v>1</v>
      </c>
      <c r="H852">
        <f>(Table1[[#This Row],[price]]*Table1[[#This Row],[units_sold]])</f>
        <v>49125</v>
      </c>
      <c r="I852" t="str">
        <f>IF(Table1[[#This Row],[in_stock]]=TRUE,"Available","Out of stock")</f>
        <v>Available</v>
      </c>
      <c r="J852" t="str">
        <f>IF(Table1[[#This Row],[rating]]&gt;=4,"High",IF(Table1[[#This Row],[rating]]&gt;=2.5,"Medium","Low"))</f>
        <v>Low</v>
      </c>
      <c r="K852" t="str">
        <f>IF(Table1[[#This Row],[price]]&lt;200,"Budget",IF(Table1[[#This Row],[price]]&lt;600,"Mid-Range",IF(Table1[[#This Row],[price]]&lt;1000,"Premium","Luxury")))</f>
        <v>Mid-Range</v>
      </c>
      <c r="L852" t="str">
        <f>IF(Table1[[#This Row],[units_sold]]&lt;50,"Very Low",IF(Table1[[#This Row],[units_sold]]&lt;150,"Low",IF(Table1[[#This Row],[units_sold]]&lt;300,"Medium","High")))</f>
        <v>Low</v>
      </c>
      <c r="M852" t="str">
        <f t="shared" si="27"/>
        <v>Normal</v>
      </c>
      <c r="N852">
        <f>(Table1[[#This Row],[price]]*0.7)</f>
        <v>275.09999999999997</v>
      </c>
    </row>
    <row r="853" spans="1:14" x14ac:dyDescent="0.35">
      <c r="A853" t="str">
        <f t="shared" si="26"/>
        <v>P852</v>
      </c>
      <c r="B853" t="s">
        <v>17</v>
      </c>
      <c r="C853" t="s">
        <v>7</v>
      </c>
      <c r="D853">
        <v>1183.97</v>
      </c>
      <c r="E853">
        <v>110</v>
      </c>
      <c r="F853">
        <v>2.2000000000000002</v>
      </c>
      <c r="G853" t="b">
        <v>1</v>
      </c>
      <c r="H853">
        <f>(Table1[[#This Row],[price]]*Table1[[#This Row],[units_sold]])</f>
        <v>130236.7</v>
      </c>
      <c r="I853" t="str">
        <f>IF(Table1[[#This Row],[in_stock]]=TRUE,"Available","Out of stock")</f>
        <v>Available</v>
      </c>
      <c r="J853" t="str">
        <f>IF(Table1[[#This Row],[rating]]&gt;=4,"High",IF(Table1[[#This Row],[rating]]&gt;=2.5,"Medium","Low"))</f>
        <v>Low</v>
      </c>
      <c r="K853" t="str">
        <f>IF(Table1[[#This Row],[price]]&lt;200,"Budget",IF(Table1[[#This Row],[price]]&lt;600,"Mid-Range",IF(Table1[[#This Row],[price]]&lt;1000,"Premium","Luxury")))</f>
        <v>Luxury</v>
      </c>
      <c r="L853" t="str">
        <f>IF(Table1[[#This Row],[units_sold]]&lt;50,"Very Low",IF(Table1[[#This Row],[units_sold]]&lt;150,"Low",IF(Table1[[#This Row],[units_sold]]&lt;300,"Medium","High")))</f>
        <v>Low</v>
      </c>
      <c r="M853" t="str">
        <f t="shared" si="27"/>
        <v>Normal</v>
      </c>
      <c r="N853">
        <f>(Table1[[#This Row],[price]]*0.7)</f>
        <v>828.779</v>
      </c>
    </row>
    <row r="854" spans="1:14" x14ac:dyDescent="0.35">
      <c r="A854" t="str">
        <f t="shared" si="26"/>
        <v>P853</v>
      </c>
      <c r="B854" t="s">
        <v>17</v>
      </c>
      <c r="C854" t="s">
        <v>7</v>
      </c>
      <c r="D854">
        <v>1298.3800000000001</v>
      </c>
      <c r="E854">
        <v>86</v>
      </c>
      <c r="F854">
        <v>3</v>
      </c>
      <c r="G854" t="b">
        <v>1</v>
      </c>
      <c r="H854">
        <f>(Table1[[#This Row],[price]]*Table1[[#This Row],[units_sold]])</f>
        <v>111660.68000000001</v>
      </c>
      <c r="I854" t="str">
        <f>IF(Table1[[#This Row],[in_stock]]=TRUE,"Available","Out of stock")</f>
        <v>Available</v>
      </c>
      <c r="J854" t="str">
        <f>IF(Table1[[#This Row],[rating]]&gt;=4,"High",IF(Table1[[#This Row],[rating]]&gt;=2.5,"Medium","Low"))</f>
        <v>Medium</v>
      </c>
      <c r="K854" t="str">
        <f>IF(Table1[[#This Row],[price]]&lt;200,"Budget",IF(Table1[[#This Row],[price]]&lt;600,"Mid-Range",IF(Table1[[#This Row],[price]]&lt;1000,"Premium","Luxury")))</f>
        <v>Luxury</v>
      </c>
      <c r="L854" t="str">
        <f>IF(Table1[[#This Row],[units_sold]]&lt;50,"Very Low",IF(Table1[[#This Row],[units_sold]]&lt;150,"Low",IF(Table1[[#This Row],[units_sold]]&lt;300,"Medium","High")))</f>
        <v>Low</v>
      </c>
      <c r="M854" t="str">
        <f t="shared" si="27"/>
        <v>Normal</v>
      </c>
      <c r="N854">
        <f>(Table1[[#This Row],[price]]*0.7)</f>
        <v>908.86599999999999</v>
      </c>
    </row>
    <row r="855" spans="1:14" x14ac:dyDescent="0.35">
      <c r="A855" t="str">
        <f t="shared" si="26"/>
        <v>P854</v>
      </c>
      <c r="B855" t="s">
        <v>15</v>
      </c>
      <c r="C855" t="s">
        <v>7</v>
      </c>
      <c r="D855">
        <v>916.64</v>
      </c>
      <c r="E855">
        <v>425</v>
      </c>
      <c r="F855">
        <v>1.2</v>
      </c>
      <c r="G855" t="b">
        <v>1</v>
      </c>
      <c r="H855">
        <f>(Table1[[#This Row],[price]]*Table1[[#This Row],[units_sold]])</f>
        <v>389572</v>
      </c>
      <c r="I855" t="str">
        <f>IF(Table1[[#This Row],[in_stock]]=TRUE,"Available","Out of stock")</f>
        <v>Available</v>
      </c>
      <c r="J855" t="str">
        <f>IF(Table1[[#This Row],[rating]]&gt;=4,"High",IF(Table1[[#This Row],[rating]]&gt;=2.5,"Medium","Low"))</f>
        <v>Low</v>
      </c>
      <c r="K855" t="str">
        <f>IF(Table1[[#This Row],[price]]&lt;200,"Budget",IF(Table1[[#This Row],[price]]&lt;600,"Mid-Range",IF(Table1[[#This Row],[price]]&lt;1000,"Premium","Luxury")))</f>
        <v>Premium</v>
      </c>
      <c r="L855" t="str">
        <f>IF(Table1[[#This Row],[units_sold]]&lt;50,"Very Low",IF(Table1[[#This Row],[units_sold]]&lt;150,"Low",IF(Table1[[#This Row],[units_sold]]&lt;300,"Medium","High")))</f>
        <v>High</v>
      </c>
      <c r="M855" t="str">
        <f t="shared" si="27"/>
        <v>Normal</v>
      </c>
      <c r="N855">
        <f>(Table1[[#This Row],[price]]*0.7)</f>
        <v>641.64799999999991</v>
      </c>
    </row>
    <row r="856" spans="1:14" x14ac:dyDescent="0.35">
      <c r="A856" t="str">
        <f t="shared" si="26"/>
        <v>P855</v>
      </c>
      <c r="B856" t="s">
        <v>15</v>
      </c>
      <c r="C856" t="s">
        <v>7</v>
      </c>
      <c r="D856">
        <v>765.19</v>
      </c>
      <c r="E856">
        <v>120</v>
      </c>
      <c r="F856">
        <v>3</v>
      </c>
      <c r="G856" t="b">
        <v>1</v>
      </c>
      <c r="H856">
        <f>(Table1[[#This Row],[price]]*Table1[[#This Row],[units_sold]])</f>
        <v>91822.8</v>
      </c>
      <c r="I856" t="str">
        <f>IF(Table1[[#This Row],[in_stock]]=TRUE,"Available","Out of stock")</f>
        <v>Available</v>
      </c>
      <c r="J856" t="str">
        <f>IF(Table1[[#This Row],[rating]]&gt;=4,"High",IF(Table1[[#This Row],[rating]]&gt;=2.5,"Medium","Low"))</f>
        <v>Medium</v>
      </c>
      <c r="K856" t="str">
        <f>IF(Table1[[#This Row],[price]]&lt;200,"Budget",IF(Table1[[#This Row],[price]]&lt;600,"Mid-Range",IF(Table1[[#This Row],[price]]&lt;1000,"Premium","Luxury")))</f>
        <v>Premium</v>
      </c>
      <c r="L856" t="str">
        <f>IF(Table1[[#This Row],[units_sold]]&lt;50,"Very Low",IF(Table1[[#This Row],[units_sold]]&lt;150,"Low",IF(Table1[[#This Row],[units_sold]]&lt;300,"Medium","High")))</f>
        <v>Low</v>
      </c>
      <c r="M856" t="str">
        <f t="shared" si="27"/>
        <v>Normal</v>
      </c>
      <c r="N856">
        <f>(Table1[[#This Row],[price]]*0.7)</f>
        <v>535.63300000000004</v>
      </c>
    </row>
    <row r="857" spans="1:14" x14ac:dyDescent="0.35">
      <c r="A857" t="str">
        <f t="shared" si="26"/>
        <v>P856</v>
      </c>
      <c r="B857" t="s">
        <v>16</v>
      </c>
      <c r="C857" t="s">
        <v>9</v>
      </c>
      <c r="D857">
        <v>247.36</v>
      </c>
      <c r="E857">
        <v>127</v>
      </c>
      <c r="F857">
        <v>4.7</v>
      </c>
      <c r="G857" t="b">
        <v>1</v>
      </c>
      <c r="H857">
        <f>(Table1[[#This Row],[price]]*Table1[[#This Row],[units_sold]])</f>
        <v>31414.720000000001</v>
      </c>
      <c r="I857" t="str">
        <f>IF(Table1[[#This Row],[in_stock]]=TRUE,"Available","Out of stock")</f>
        <v>Available</v>
      </c>
      <c r="J857" t="str">
        <f>IF(Table1[[#This Row],[rating]]&gt;=4,"High",IF(Table1[[#This Row],[rating]]&gt;=2.5,"Medium","Low"))</f>
        <v>High</v>
      </c>
      <c r="K857" t="str">
        <f>IF(Table1[[#This Row],[price]]&lt;200,"Budget",IF(Table1[[#This Row],[price]]&lt;600,"Mid-Range",IF(Table1[[#This Row],[price]]&lt;1000,"Premium","Luxury")))</f>
        <v>Mid-Range</v>
      </c>
      <c r="L857" t="str">
        <f>IF(Table1[[#This Row],[units_sold]]&lt;50,"Very Low",IF(Table1[[#This Row],[units_sold]]&lt;150,"Low",IF(Table1[[#This Row],[units_sold]]&lt;300,"Medium","High")))</f>
        <v>Low</v>
      </c>
      <c r="M857" t="str">
        <f t="shared" si="27"/>
        <v>Normal</v>
      </c>
      <c r="N857">
        <f>(Table1[[#This Row],[price]]*0.7)</f>
        <v>173.15199999999999</v>
      </c>
    </row>
    <row r="858" spans="1:14" x14ac:dyDescent="0.35">
      <c r="A858" t="str">
        <f t="shared" si="26"/>
        <v>P857</v>
      </c>
      <c r="B858" t="s">
        <v>6</v>
      </c>
      <c r="C858" t="s">
        <v>7</v>
      </c>
      <c r="D858">
        <v>104.03</v>
      </c>
      <c r="E858">
        <v>255</v>
      </c>
      <c r="F858">
        <v>1.4</v>
      </c>
      <c r="G858" t="b">
        <v>1</v>
      </c>
      <c r="H858">
        <f>(Table1[[#This Row],[price]]*Table1[[#This Row],[units_sold]])</f>
        <v>26527.65</v>
      </c>
      <c r="I858" t="str">
        <f>IF(Table1[[#This Row],[in_stock]]=TRUE,"Available","Out of stock")</f>
        <v>Available</v>
      </c>
      <c r="J858" t="str">
        <f>IF(Table1[[#This Row],[rating]]&gt;=4,"High",IF(Table1[[#This Row],[rating]]&gt;=2.5,"Medium","Low"))</f>
        <v>Low</v>
      </c>
      <c r="K858" t="str">
        <f>IF(Table1[[#This Row],[price]]&lt;200,"Budget",IF(Table1[[#This Row],[price]]&lt;600,"Mid-Range",IF(Table1[[#This Row],[price]]&lt;1000,"Premium","Luxury")))</f>
        <v>Budget</v>
      </c>
      <c r="L858" t="str">
        <f>IF(Table1[[#This Row],[units_sold]]&lt;50,"Very Low",IF(Table1[[#This Row],[units_sold]]&lt;150,"Low",IF(Table1[[#This Row],[units_sold]]&lt;300,"Medium","High")))</f>
        <v>Medium</v>
      </c>
      <c r="M858" t="str">
        <f t="shared" si="27"/>
        <v>Normal</v>
      </c>
      <c r="N858">
        <f>(Table1[[#This Row],[price]]*0.7)</f>
        <v>72.820999999999998</v>
      </c>
    </row>
    <row r="859" spans="1:14" x14ac:dyDescent="0.35">
      <c r="A859" t="str">
        <f t="shared" si="26"/>
        <v>P858</v>
      </c>
      <c r="B859" t="s">
        <v>15</v>
      </c>
      <c r="C859" t="s">
        <v>7</v>
      </c>
      <c r="D859">
        <v>185.3</v>
      </c>
      <c r="E859">
        <v>183</v>
      </c>
      <c r="F859">
        <v>4.0999999999999996</v>
      </c>
      <c r="G859" t="b">
        <v>1</v>
      </c>
      <c r="H859">
        <f>(Table1[[#This Row],[price]]*Table1[[#This Row],[units_sold]])</f>
        <v>33909.9</v>
      </c>
      <c r="I859" t="str">
        <f>IF(Table1[[#This Row],[in_stock]]=TRUE,"Available","Out of stock")</f>
        <v>Available</v>
      </c>
      <c r="J859" t="str">
        <f>IF(Table1[[#This Row],[rating]]&gt;=4,"High",IF(Table1[[#This Row],[rating]]&gt;=2.5,"Medium","Low"))</f>
        <v>High</v>
      </c>
      <c r="K859" t="str">
        <f>IF(Table1[[#This Row],[price]]&lt;200,"Budget",IF(Table1[[#This Row],[price]]&lt;600,"Mid-Range",IF(Table1[[#This Row],[price]]&lt;1000,"Premium","Luxury")))</f>
        <v>Budget</v>
      </c>
      <c r="L859" t="str">
        <f>IF(Table1[[#This Row],[units_sold]]&lt;50,"Very Low",IF(Table1[[#This Row],[units_sold]]&lt;150,"Low",IF(Table1[[#This Row],[units_sold]]&lt;300,"Medium","High")))</f>
        <v>Medium</v>
      </c>
      <c r="M859" t="str">
        <f t="shared" si="27"/>
        <v>Normal</v>
      </c>
      <c r="N859">
        <f>(Table1[[#This Row],[price]]*0.7)</f>
        <v>129.71</v>
      </c>
    </row>
    <row r="860" spans="1:14" x14ac:dyDescent="0.35">
      <c r="A860" t="str">
        <f t="shared" si="26"/>
        <v>P859</v>
      </c>
      <c r="B860" t="s">
        <v>13</v>
      </c>
      <c r="C860" t="s">
        <v>9</v>
      </c>
      <c r="D860">
        <v>348.76</v>
      </c>
      <c r="E860">
        <v>16</v>
      </c>
      <c r="F860">
        <v>2.6</v>
      </c>
      <c r="G860" t="b">
        <v>1</v>
      </c>
      <c r="H860">
        <f>(Table1[[#This Row],[price]]*Table1[[#This Row],[units_sold]])</f>
        <v>5580.16</v>
      </c>
      <c r="I860" t="str">
        <f>IF(Table1[[#This Row],[in_stock]]=TRUE,"Available","Out of stock")</f>
        <v>Available</v>
      </c>
      <c r="J860" t="str">
        <f>IF(Table1[[#This Row],[rating]]&gt;=4,"High",IF(Table1[[#This Row],[rating]]&gt;=2.5,"Medium","Low"))</f>
        <v>Medium</v>
      </c>
      <c r="K860" t="str">
        <f>IF(Table1[[#This Row],[price]]&lt;200,"Budget",IF(Table1[[#This Row],[price]]&lt;600,"Mid-Range",IF(Table1[[#This Row],[price]]&lt;1000,"Premium","Luxury")))</f>
        <v>Mid-Range</v>
      </c>
      <c r="L860" t="str">
        <f>IF(Table1[[#This Row],[units_sold]]&lt;50,"Very Low",IF(Table1[[#This Row],[units_sold]]&lt;150,"Low",IF(Table1[[#This Row],[units_sold]]&lt;300,"Medium","High")))</f>
        <v>Very Low</v>
      </c>
      <c r="M860" t="str">
        <f t="shared" si="27"/>
        <v>Normal</v>
      </c>
      <c r="N860">
        <f>(Table1[[#This Row],[price]]*0.7)</f>
        <v>244.13199999999998</v>
      </c>
    </row>
    <row r="861" spans="1:14" x14ac:dyDescent="0.35">
      <c r="A861" t="str">
        <f t="shared" si="26"/>
        <v>P860</v>
      </c>
      <c r="B861" t="s">
        <v>8</v>
      </c>
      <c r="C861" t="s">
        <v>9</v>
      </c>
      <c r="D861">
        <v>519.1</v>
      </c>
      <c r="E861">
        <v>477</v>
      </c>
      <c r="F861">
        <v>3.6</v>
      </c>
      <c r="G861" t="b">
        <v>1</v>
      </c>
      <c r="H861">
        <f>(Table1[[#This Row],[price]]*Table1[[#This Row],[units_sold]])</f>
        <v>247610.7</v>
      </c>
      <c r="I861" t="str">
        <f>IF(Table1[[#This Row],[in_stock]]=TRUE,"Available","Out of stock")</f>
        <v>Available</v>
      </c>
      <c r="J861" t="str">
        <f>IF(Table1[[#This Row],[rating]]&gt;=4,"High",IF(Table1[[#This Row],[rating]]&gt;=2.5,"Medium","Low"))</f>
        <v>Medium</v>
      </c>
      <c r="K861" t="str">
        <f>IF(Table1[[#This Row],[price]]&lt;200,"Budget",IF(Table1[[#This Row],[price]]&lt;600,"Mid-Range",IF(Table1[[#This Row],[price]]&lt;1000,"Premium","Luxury")))</f>
        <v>Mid-Range</v>
      </c>
      <c r="L861" t="str">
        <f>IF(Table1[[#This Row],[units_sold]]&lt;50,"Very Low",IF(Table1[[#This Row],[units_sold]]&lt;150,"Low",IF(Table1[[#This Row],[units_sold]]&lt;300,"Medium","High")))</f>
        <v>High</v>
      </c>
      <c r="M861" t="str">
        <f t="shared" si="27"/>
        <v>Normal</v>
      </c>
      <c r="N861">
        <f>(Table1[[#This Row],[price]]*0.7)</f>
        <v>363.37</v>
      </c>
    </row>
    <row r="862" spans="1:14" x14ac:dyDescent="0.35">
      <c r="A862" t="str">
        <f t="shared" si="26"/>
        <v>P861</v>
      </c>
      <c r="B862" t="s">
        <v>11</v>
      </c>
      <c r="C862" t="s">
        <v>9</v>
      </c>
      <c r="D862">
        <v>577.55999999999995</v>
      </c>
      <c r="E862">
        <v>62</v>
      </c>
      <c r="F862">
        <v>2</v>
      </c>
      <c r="G862" t="b">
        <v>0</v>
      </c>
      <c r="H862">
        <f>(Table1[[#This Row],[price]]*Table1[[#This Row],[units_sold]])</f>
        <v>35808.719999999994</v>
      </c>
      <c r="I862" t="str">
        <f>IF(Table1[[#This Row],[in_stock]]=TRUE,"Available","Out of stock")</f>
        <v>Out of stock</v>
      </c>
      <c r="J862" t="str">
        <f>IF(Table1[[#This Row],[rating]]&gt;=4,"High",IF(Table1[[#This Row],[rating]]&gt;=2.5,"Medium","Low"))</f>
        <v>Low</v>
      </c>
      <c r="K862" t="str">
        <f>IF(Table1[[#This Row],[price]]&lt;200,"Budget",IF(Table1[[#This Row],[price]]&lt;600,"Mid-Range",IF(Table1[[#This Row],[price]]&lt;1000,"Premium","Luxury")))</f>
        <v>Mid-Range</v>
      </c>
      <c r="L862" t="str">
        <f>IF(Table1[[#This Row],[units_sold]]&lt;50,"Very Low",IF(Table1[[#This Row],[units_sold]]&lt;150,"Low",IF(Table1[[#This Row],[units_sold]]&lt;300,"Medium","High")))</f>
        <v>Low</v>
      </c>
      <c r="M862" t="str">
        <f t="shared" si="27"/>
        <v>Normal</v>
      </c>
      <c r="N862">
        <f>(Table1[[#This Row],[price]]*0.7)</f>
        <v>404.29199999999992</v>
      </c>
    </row>
    <row r="863" spans="1:14" x14ac:dyDescent="0.35">
      <c r="A863" t="str">
        <f t="shared" si="26"/>
        <v>P862</v>
      </c>
      <c r="B863" t="s">
        <v>6</v>
      </c>
      <c r="C863" t="s">
        <v>7</v>
      </c>
      <c r="D863">
        <v>526.02</v>
      </c>
      <c r="E863">
        <v>369</v>
      </c>
      <c r="F863">
        <v>1.6</v>
      </c>
      <c r="G863" t="b">
        <v>1</v>
      </c>
      <c r="H863">
        <f>(Table1[[#This Row],[price]]*Table1[[#This Row],[units_sold]])</f>
        <v>194101.38</v>
      </c>
      <c r="I863" t="str">
        <f>IF(Table1[[#This Row],[in_stock]]=TRUE,"Available","Out of stock")</f>
        <v>Available</v>
      </c>
      <c r="J863" t="str">
        <f>IF(Table1[[#This Row],[rating]]&gt;=4,"High",IF(Table1[[#This Row],[rating]]&gt;=2.5,"Medium","Low"))</f>
        <v>Low</v>
      </c>
      <c r="K863" t="str">
        <f>IF(Table1[[#This Row],[price]]&lt;200,"Budget",IF(Table1[[#This Row],[price]]&lt;600,"Mid-Range",IF(Table1[[#This Row],[price]]&lt;1000,"Premium","Luxury")))</f>
        <v>Mid-Range</v>
      </c>
      <c r="L863" t="str">
        <f>IF(Table1[[#This Row],[units_sold]]&lt;50,"Very Low",IF(Table1[[#This Row],[units_sold]]&lt;150,"Low",IF(Table1[[#This Row],[units_sold]]&lt;300,"Medium","High")))</f>
        <v>High</v>
      </c>
      <c r="M863" t="str">
        <f t="shared" si="27"/>
        <v>Normal</v>
      </c>
      <c r="N863">
        <f>(Table1[[#This Row],[price]]*0.7)</f>
        <v>368.21399999999994</v>
      </c>
    </row>
    <row r="864" spans="1:14" x14ac:dyDescent="0.35">
      <c r="A864" t="str">
        <f t="shared" si="26"/>
        <v>P863</v>
      </c>
      <c r="B864" t="s">
        <v>10</v>
      </c>
      <c r="C864" t="s">
        <v>9</v>
      </c>
      <c r="D864">
        <v>366.19</v>
      </c>
      <c r="E864">
        <v>432</v>
      </c>
      <c r="F864">
        <v>1.6</v>
      </c>
      <c r="G864" t="b">
        <v>1</v>
      </c>
      <c r="H864">
        <f>(Table1[[#This Row],[price]]*Table1[[#This Row],[units_sold]])</f>
        <v>158194.07999999999</v>
      </c>
      <c r="I864" t="str">
        <f>IF(Table1[[#This Row],[in_stock]]=TRUE,"Available","Out of stock")</f>
        <v>Available</v>
      </c>
      <c r="J864" t="str">
        <f>IF(Table1[[#This Row],[rating]]&gt;=4,"High",IF(Table1[[#This Row],[rating]]&gt;=2.5,"Medium","Low"))</f>
        <v>Low</v>
      </c>
      <c r="K864" t="str">
        <f>IF(Table1[[#This Row],[price]]&lt;200,"Budget",IF(Table1[[#This Row],[price]]&lt;600,"Mid-Range",IF(Table1[[#This Row],[price]]&lt;1000,"Premium","Luxury")))</f>
        <v>Mid-Range</v>
      </c>
      <c r="L864" t="str">
        <f>IF(Table1[[#This Row],[units_sold]]&lt;50,"Very Low",IF(Table1[[#This Row],[units_sold]]&lt;150,"Low",IF(Table1[[#This Row],[units_sold]]&lt;300,"Medium","High")))</f>
        <v>High</v>
      </c>
      <c r="M864" t="str">
        <f t="shared" si="27"/>
        <v>Normal</v>
      </c>
      <c r="N864">
        <f>(Table1[[#This Row],[price]]*0.7)</f>
        <v>256.33299999999997</v>
      </c>
    </row>
    <row r="865" spans="1:14" x14ac:dyDescent="0.35">
      <c r="A865" t="str">
        <f t="shared" si="26"/>
        <v>P864</v>
      </c>
      <c r="B865" t="s">
        <v>13</v>
      </c>
      <c r="C865" t="s">
        <v>9</v>
      </c>
      <c r="D865">
        <v>769.49</v>
      </c>
      <c r="E865">
        <v>158</v>
      </c>
      <c r="F865">
        <v>1.3</v>
      </c>
      <c r="G865" t="b">
        <v>0</v>
      </c>
      <c r="H865">
        <f>(Table1[[#This Row],[price]]*Table1[[#This Row],[units_sold]])</f>
        <v>121579.42</v>
      </c>
      <c r="I865" t="str">
        <f>IF(Table1[[#This Row],[in_stock]]=TRUE,"Available","Out of stock")</f>
        <v>Out of stock</v>
      </c>
      <c r="J865" t="str">
        <f>IF(Table1[[#This Row],[rating]]&gt;=4,"High",IF(Table1[[#This Row],[rating]]&gt;=2.5,"Medium","Low"))</f>
        <v>Low</v>
      </c>
      <c r="K865" t="str">
        <f>IF(Table1[[#This Row],[price]]&lt;200,"Budget",IF(Table1[[#This Row],[price]]&lt;600,"Mid-Range",IF(Table1[[#This Row],[price]]&lt;1000,"Premium","Luxury")))</f>
        <v>Premium</v>
      </c>
      <c r="L865" t="str">
        <f>IF(Table1[[#This Row],[units_sold]]&lt;50,"Very Low",IF(Table1[[#This Row],[units_sold]]&lt;150,"Low",IF(Table1[[#This Row],[units_sold]]&lt;300,"Medium","High")))</f>
        <v>Medium</v>
      </c>
      <c r="M865" t="str">
        <f t="shared" si="27"/>
        <v>Normal</v>
      </c>
      <c r="N865">
        <f>(Table1[[#This Row],[price]]*0.7)</f>
        <v>538.64299999999992</v>
      </c>
    </row>
    <row r="866" spans="1:14" x14ac:dyDescent="0.35">
      <c r="A866" t="str">
        <f t="shared" si="26"/>
        <v>P865</v>
      </c>
      <c r="B866" t="s">
        <v>12</v>
      </c>
      <c r="C866" t="s">
        <v>7</v>
      </c>
      <c r="D866">
        <v>1239.68</v>
      </c>
      <c r="E866">
        <v>268</v>
      </c>
      <c r="F866">
        <v>1.7</v>
      </c>
      <c r="G866" t="b">
        <v>0</v>
      </c>
      <c r="H866">
        <f>(Table1[[#This Row],[price]]*Table1[[#This Row],[units_sold]])</f>
        <v>332234.23999999999</v>
      </c>
      <c r="I866" t="str">
        <f>IF(Table1[[#This Row],[in_stock]]=TRUE,"Available","Out of stock")</f>
        <v>Out of stock</v>
      </c>
      <c r="J866" t="str">
        <f>IF(Table1[[#This Row],[rating]]&gt;=4,"High",IF(Table1[[#This Row],[rating]]&gt;=2.5,"Medium","Low"))</f>
        <v>Low</v>
      </c>
      <c r="K866" t="str">
        <f>IF(Table1[[#This Row],[price]]&lt;200,"Budget",IF(Table1[[#This Row],[price]]&lt;600,"Mid-Range",IF(Table1[[#This Row],[price]]&lt;1000,"Premium","Luxury")))</f>
        <v>Luxury</v>
      </c>
      <c r="L866" t="str">
        <f>IF(Table1[[#This Row],[units_sold]]&lt;50,"Very Low",IF(Table1[[#This Row],[units_sold]]&lt;150,"Low",IF(Table1[[#This Row],[units_sold]]&lt;300,"Medium","High")))</f>
        <v>Medium</v>
      </c>
      <c r="M866" t="str">
        <f t="shared" si="27"/>
        <v>Normal</v>
      </c>
      <c r="N866">
        <f>(Table1[[#This Row],[price]]*0.7)</f>
        <v>867.77599999999995</v>
      </c>
    </row>
    <row r="867" spans="1:14" x14ac:dyDescent="0.35">
      <c r="A867" t="str">
        <f t="shared" si="26"/>
        <v>P866</v>
      </c>
      <c r="B867" t="s">
        <v>15</v>
      </c>
      <c r="C867" t="s">
        <v>7</v>
      </c>
      <c r="D867">
        <v>426.76</v>
      </c>
      <c r="E867">
        <v>35</v>
      </c>
      <c r="F867">
        <v>3.7</v>
      </c>
      <c r="G867" t="b">
        <v>1</v>
      </c>
      <c r="H867">
        <f>(Table1[[#This Row],[price]]*Table1[[#This Row],[units_sold]])</f>
        <v>14936.6</v>
      </c>
      <c r="I867" t="str">
        <f>IF(Table1[[#This Row],[in_stock]]=TRUE,"Available","Out of stock")</f>
        <v>Available</v>
      </c>
      <c r="J867" t="str">
        <f>IF(Table1[[#This Row],[rating]]&gt;=4,"High",IF(Table1[[#This Row],[rating]]&gt;=2.5,"Medium","Low"))</f>
        <v>Medium</v>
      </c>
      <c r="K867" t="str">
        <f>IF(Table1[[#This Row],[price]]&lt;200,"Budget",IF(Table1[[#This Row],[price]]&lt;600,"Mid-Range",IF(Table1[[#This Row],[price]]&lt;1000,"Premium","Luxury")))</f>
        <v>Mid-Range</v>
      </c>
      <c r="L867" t="str">
        <f>IF(Table1[[#This Row],[units_sold]]&lt;50,"Very Low",IF(Table1[[#This Row],[units_sold]]&lt;150,"Low",IF(Table1[[#This Row],[units_sold]]&lt;300,"Medium","High")))</f>
        <v>Very Low</v>
      </c>
      <c r="M867" t="str">
        <f t="shared" si="27"/>
        <v>Normal</v>
      </c>
      <c r="N867">
        <f>(Table1[[#This Row],[price]]*0.7)</f>
        <v>298.73199999999997</v>
      </c>
    </row>
    <row r="868" spans="1:14" x14ac:dyDescent="0.35">
      <c r="A868" t="str">
        <f t="shared" si="26"/>
        <v>P867</v>
      </c>
      <c r="B868" t="s">
        <v>10</v>
      </c>
      <c r="C868" t="s">
        <v>9</v>
      </c>
      <c r="D868">
        <v>1414.16</v>
      </c>
      <c r="E868">
        <v>267</v>
      </c>
      <c r="F868">
        <v>4.5</v>
      </c>
      <c r="G868" t="b">
        <v>0</v>
      </c>
      <c r="H868">
        <f>(Table1[[#This Row],[price]]*Table1[[#This Row],[units_sold]])</f>
        <v>377580.72000000003</v>
      </c>
      <c r="I868" t="str">
        <f>IF(Table1[[#This Row],[in_stock]]=TRUE,"Available","Out of stock")</f>
        <v>Out of stock</v>
      </c>
      <c r="J868" t="str">
        <f>IF(Table1[[#This Row],[rating]]&gt;=4,"High",IF(Table1[[#This Row],[rating]]&gt;=2.5,"Medium","Low"))</f>
        <v>High</v>
      </c>
      <c r="K868" t="str">
        <f>IF(Table1[[#This Row],[price]]&lt;200,"Budget",IF(Table1[[#This Row],[price]]&lt;600,"Mid-Range",IF(Table1[[#This Row],[price]]&lt;1000,"Premium","Luxury")))</f>
        <v>Luxury</v>
      </c>
      <c r="L868" t="str">
        <f>IF(Table1[[#This Row],[units_sold]]&lt;50,"Very Low",IF(Table1[[#This Row],[units_sold]]&lt;150,"Low",IF(Table1[[#This Row],[units_sold]]&lt;300,"Medium","High")))</f>
        <v>Medium</v>
      </c>
      <c r="M868" t="str">
        <f t="shared" si="27"/>
        <v>Normal</v>
      </c>
      <c r="N868">
        <f>(Table1[[#This Row],[price]]*0.7)</f>
        <v>989.91200000000003</v>
      </c>
    </row>
    <row r="869" spans="1:14" x14ac:dyDescent="0.35">
      <c r="A869" t="str">
        <f t="shared" si="26"/>
        <v>P868</v>
      </c>
      <c r="B869" t="s">
        <v>15</v>
      </c>
      <c r="C869" t="s">
        <v>7</v>
      </c>
      <c r="D869">
        <v>1311.27</v>
      </c>
      <c r="E869">
        <v>64</v>
      </c>
      <c r="F869">
        <v>4.3</v>
      </c>
      <c r="G869" t="b">
        <v>1</v>
      </c>
      <c r="H869">
        <f>(Table1[[#This Row],[price]]*Table1[[#This Row],[units_sold]])</f>
        <v>83921.279999999999</v>
      </c>
      <c r="I869" t="str">
        <f>IF(Table1[[#This Row],[in_stock]]=TRUE,"Available","Out of stock")</f>
        <v>Available</v>
      </c>
      <c r="J869" t="str">
        <f>IF(Table1[[#This Row],[rating]]&gt;=4,"High",IF(Table1[[#This Row],[rating]]&gt;=2.5,"Medium","Low"))</f>
        <v>High</v>
      </c>
      <c r="K869" t="str">
        <f>IF(Table1[[#This Row],[price]]&lt;200,"Budget",IF(Table1[[#This Row],[price]]&lt;600,"Mid-Range",IF(Table1[[#This Row],[price]]&lt;1000,"Premium","Luxury")))</f>
        <v>Luxury</v>
      </c>
      <c r="L869" t="str">
        <f>IF(Table1[[#This Row],[units_sold]]&lt;50,"Very Low",IF(Table1[[#This Row],[units_sold]]&lt;150,"Low",IF(Table1[[#This Row],[units_sold]]&lt;300,"Medium","High")))</f>
        <v>Low</v>
      </c>
      <c r="M869" t="str">
        <f t="shared" si="27"/>
        <v>Normal</v>
      </c>
      <c r="N869">
        <f>(Table1[[#This Row],[price]]*0.7)</f>
        <v>917.8889999999999</v>
      </c>
    </row>
    <row r="870" spans="1:14" x14ac:dyDescent="0.35">
      <c r="A870" t="str">
        <f t="shared" si="26"/>
        <v>P869</v>
      </c>
      <c r="B870" t="s">
        <v>17</v>
      </c>
      <c r="C870" t="s">
        <v>7</v>
      </c>
      <c r="D870">
        <v>251.03</v>
      </c>
      <c r="E870">
        <v>494</v>
      </c>
      <c r="F870">
        <v>3.7</v>
      </c>
      <c r="G870" t="b">
        <v>1</v>
      </c>
      <c r="H870">
        <f>(Table1[[#This Row],[price]]*Table1[[#This Row],[units_sold]])</f>
        <v>124008.82</v>
      </c>
      <c r="I870" t="str">
        <f>IF(Table1[[#This Row],[in_stock]]=TRUE,"Available","Out of stock")</f>
        <v>Available</v>
      </c>
      <c r="J870" t="str">
        <f>IF(Table1[[#This Row],[rating]]&gt;=4,"High",IF(Table1[[#This Row],[rating]]&gt;=2.5,"Medium","Low"))</f>
        <v>Medium</v>
      </c>
      <c r="K870" t="str">
        <f>IF(Table1[[#This Row],[price]]&lt;200,"Budget",IF(Table1[[#This Row],[price]]&lt;600,"Mid-Range",IF(Table1[[#This Row],[price]]&lt;1000,"Premium","Luxury")))</f>
        <v>Mid-Range</v>
      </c>
      <c r="L870" t="str">
        <f>IF(Table1[[#This Row],[units_sold]]&lt;50,"Very Low",IF(Table1[[#This Row],[units_sold]]&lt;150,"Low",IF(Table1[[#This Row],[units_sold]]&lt;300,"Medium","High")))</f>
        <v>High</v>
      </c>
      <c r="M870" t="str">
        <f t="shared" si="27"/>
        <v>Normal</v>
      </c>
      <c r="N870">
        <f>(Table1[[#This Row],[price]]*0.7)</f>
        <v>175.721</v>
      </c>
    </row>
    <row r="871" spans="1:14" x14ac:dyDescent="0.35">
      <c r="A871" t="str">
        <f t="shared" si="26"/>
        <v>P870</v>
      </c>
      <c r="B871" t="s">
        <v>13</v>
      </c>
      <c r="C871" t="s">
        <v>9</v>
      </c>
      <c r="D871">
        <v>1181.55</v>
      </c>
      <c r="E871">
        <v>50</v>
      </c>
      <c r="F871">
        <v>1.4</v>
      </c>
      <c r="G871" t="b">
        <v>1</v>
      </c>
      <c r="H871">
        <f>(Table1[[#This Row],[price]]*Table1[[#This Row],[units_sold]])</f>
        <v>59077.5</v>
      </c>
      <c r="I871" t="str">
        <f>IF(Table1[[#This Row],[in_stock]]=TRUE,"Available","Out of stock")</f>
        <v>Available</v>
      </c>
      <c r="J871" t="str">
        <f>IF(Table1[[#This Row],[rating]]&gt;=4,"High",IF(Table1[[#This Row],[rating]]&gt;=2.5,"Medium","Low"))</f>
        <v>Low</v>
      </c>
      <c r="K871" t="str">
        <f>IF(Table1[[#This Row],[price]]&lt;200,"Budget",IF(Table1[[#This Row],[price]]&lt;600,"Mid-Range",IF(Table1[[#This Row],[price]]&lt;1000,"Premium","Luxury")))</f>
        <v>Luxury</v>
      </c>
      <c r="L871" t="str">
        <f>IF(Table1[[#This Row],[units_sold]]&lt;50,"Very Low",IF(Table1[[#This Row],[units_sold]]&lt;150,"Low",IF(Table1[[#This Row],[units_sold]]&lt;300,"Medium","High")))</f>
        <v>Low</v>
      </c>
      <c r="M871" t="str">
        <f t="shared" si="27"/>
        <v>Normal</v>
      </c>
      <c r="N871">
        <f>(Table1[[#This Row],[price]]*0.7)</f>
        <v>827.08499999999992</v>
      </c>
    </row>
    <row r="872" spans="1:14" x14ac:dyDescent="0.35">
      <c r="A872" t="str">
        <f t="shared" si="26"/>
        <v>P871</v>
      </c>
      <c r="B872" t="s">
        <v>17</v>
      </c>
      <c r="C872" t="s">
        <v>7</v>
      </c>
      <c r="D872">
        <v>866.14</v>
      </c>
      <c r="E872">
        <v>469</v>
      </c>
      <c r="F872">
        <v>2.2000000000000002</v>
      </c>
      <c r="G872" t="b">
        <v>1</v>
      </c>
      <c r="H872">
        <f>(Table1[[#This Row],[price]]*Table1[[#This Row],[units_sold]])</f>
        <v>406219.66</v>
      </c>
      <c r="I872" t="str">
        <f>IF(Table1[[#This Row],[in_stock]]=TRUE,"Available","Out of stock")</f>
        <v>Available</v>
      </c>
      <c r="J872" t="str">
        <f>IF(Table1[[#This Row],[rating]]&gt;=4,"High",IF(Table1[[#This Row],[rating]]&gt;=2.5,"Medium","Low"))</f>
        <v>Low</v>
      </c>
      <c r="K872" t="str">
        <f>IF(Table1[[#This Row],[price]]&lt;200,"Budget",IF(Table1[[#This Row],[price]]&lt;600,"Mid-Range",IF(Table1[[#This Row],[price]]&lt;1000,"Premium","Luxury")))</f>
        <v>Premium</v>
      </c>
      <c r="L872" t="str">
        <f>IF(Table1[[#This Row],[units_sold]]&lt;50,"Very Low",IF(Table1[[#This Row],[units_sold]]&lt;150,"Low",IF(Table1[[#This Row],[units_sold]]&lt;300,"Medium","High")))</f>
        <v>High</v>
      </c>
      <c r="M872" t="str">
        <f t="shared" si="27"/>
        <v>Normal</v>
      </c>
      <c r="N872">
        <f>(Table1[[#This Row],[price]]*0.7)</f>
        <v>606.298</v>
      </c>
    </row>
    <row r="873" spans="1:14" x14ac:dyDescent="0.35">
      <c r="A873" t="str">
        <f t="shared" si="26"/>
        <v>P872</v>
      </c>
      <c r="B873" t="s">
        <v>16</v>
      </c>
      <c r="C873" t="s">
        <v>9</v>
      </c>
      <c r="D873">
        <v>854.2</v>
      </c>
      <c r="E873">
        <v>255</v>
      </c>
      <c r="F873">
        <v>2.2000000000000002</v>
      </c>
      <c r="G873" t="b">
        <v>1</v>
      </c>
      <c r="H873">
        <f>(Table1[[#This Row],[price]]*Table1[[#This Row],[units_sold]])</f>
        <v>217821</v>
      </c>
      <c r="I873" t="str">
        <f>IF(Table1[[#This Row],[in_stock]]=TRUE,"Available","Out of stock")</f>
        <v>Available</v>
      </c>
      <c r="J873" t="str">
        <f>IF(Table1[[#This Row],[rating]]&gt;=4,"High",IF(Table1[[#This Row],[rating]]&gt;=2.5,"Medium","Low"))</f>
        <v>Low</v>
      </c>
      <c r="K873" t="str">
        <f>IF(Table1[[#This Row],[price]]&lt;200,"Budget",IF(Table1[[#This Row],[price]]&lt;600,"Mid-Range",IF(Table1[[#This Row],[price]]&lt;1000,"Premium","Luxury")))</f>
        <v>Premium</v>
      </c>
      <c r="L873" t="str">
        <f>IF(Table1[[#This Row],[units_sold]]&lt;50,"Very Low",IF(Table1[[#This Row],[units_sold]]&lt;150,"Low",IF(Table1[[#This Row],[units_sold]]&lt;300,"Medium","High")))</f>
        <v>Medium</v>
      </c>
      <c r="M873" t="str">
        <f t="shared" si="27"/>
        <v>Normal</v>
      </c>
      <c r="N873">
        <f>(Table1[[#This Row],[price]]*0.7)</f>
        <v>597.93999999999994</v>
      </c>
    </row>
    <row r="874" spans="1:14" x14ac:dyDescent="0.35">
      <c r="A874" t="str">
        <f t="shared" si="26"/>
        <v>P873</v>
      </c>
      <c r="B874" t="s">
        <v>17</v>
      </c>
      <c r="C874" t="s">
        <v>7</v>
      </c>
      <c r="D874">
        <v>592.65</v>
      </c>
      <c r="E874">
        <v>149</v>
      </c>
      <c r="F874">
        <v>2</v>
      </c>
      <c r="G874" t="b">
        <v>1</v>
      </c>
      <c r="H874">
        <f>(Table1[[#This Row],[price]]*Table1[[#This Row],[units_sold]])</f>
        <v>88304.849999999991</v>
      </c>
      <c r="I874" t="str">
        <f>IF(Table1[[#This Row],[in_stock]]=TRUE,"Available","Out of stock")</f>
        <v>Available</v>
      </c>
      <c r="J874" t="str">
        <f>IF(Table1[[#This Row],[rating]]&gt;=4,"High",IF(Table1[[#This Row],[rating]]&gt;=2.5,"Medium","Low"))</f>
        <v>Low</v>
      </c>
      <c r="K874" t="str">
        <f>IF(Table1[[#This Row],[price]]&lt;200,"Budget",IF(Table1[[#This Row],[price]]&lt;600,"Mid-Range",IF(Table1[[#This Row],[price]]&lt;1000,"Premium","Luxury")))</f>
        <v>Mid-Range</v>
      </c>
      <c r="L874" t="str">
        <f>IF(Table1[[#This Row],[units_sold]]&lt;50,"Very Low",IF(Table1[[#This Row],[units_sold]]&lt;150,"Low",IF(Table1[[#This Row],[units_sold]]&lt;300,"Medium","High")))</f>
        <v>Low</v>
      </c>
      <c r="M874" t="str">
        <f t="shared" si="27"/>
        <v>Normal</v>
      </c>
      <c r="N874">
        <f>(Table1[[#This Row],[price]]*0.7)</f>
        <v>414.85499999999996</v>
      </c>
    </row>
    <row r="875" spans="1:14" x14ac:dyDescent="0.35">
      <c r="A875" t="str">
        <f t="shared" si="26"/>
        <v>P874</v>
      </c>
      <c r="B875" t="s">
        <v>16</v>
      </c>
      <c r="C875" t="s">
        <v>9</v>
      </c>
      <c r="D875">
        <v>756.72</v>
      </c>
      <c r="E875">
        <v>325</v>
      </c>
      <c r="F875">
        <v>3.1</v>
      </c>
      <c r="G875" t="b">
        <v>1</v>
      </c>
      <c r="H875">
        <f>(Table1[[#This Row],[price]]*Table1[[#This Row],[units_sold]])</f>
        <v>245934</v>
      </c>
      <c r="I875" t="str">
        <f>IF(Table1[[#This Row],[in_stock]]=TRUE,"Available","Out of stock")</f>
        <v>Available</v>
      </c>
      <c r="J875" t="str">
        <f>IF(Table1[[#This Row],[rating]]&gt;=4,"High",IF(Table1[[#This Row],[rating]]&gt;=2.5,"Medium","Low"))</f>
        <v>Medium</v>
      </c>
      <c r="K875" t="str">
        <f>IF(Table1[[#This Row],[price]]&lt;200,"Budget",IF(Table1[[#This Row],[price]]&lt;600,"Mid-Range",IF(Table1[[#This Row],[price]]&lt;1000,"Premium","Luxury")))</f>
        <v>Premium</v>
      </c>
      <c r="L875" t="str">
        <f>IF(Table1[[#This Row],[units_sold]]&lt;50,"Very Low",IF(Table1[[#This Row],[units_sold]]&lt;150,"Low",IF(Table1[[#This Row],[units_sold]]&lt;300,"Medium","High")))</f>
        <v>High</v>
      </c>
      <c r="M875" t="str">
        <f t="shared" si="27"/>
        <v>Normal</v>
      </c>
      <c r="N875">
        <f>(Table1[[#This Row],[price]]*0.7)</f>
        <v>529.70399999999995</v>
      </c>
    </row>
    <row r="876" spans="1:14" x14ac:dyDescent="0.35">
      <c r="A876" t="str">
        <f t="shared" si="26"/>
        <v>P875</v>
      </c>
      <c r="B876" t="s">
        <v>16</v>
      </c>
      <c r="C876" t="s">
        <v>9</v>
      </c>
      <c r="D876">
        <v>601.79999999999995</v>
      </c>
      <c r="E876">
        <v>304</v>
      </c>
      <c r="F876">
        <v>3.1</v>
      </c>
      <c r="G876" t="b">
        <v>1</v>
      </c>
      <c r="H876">
        <f>(Table1[[#This Row],[price]]*Table1[[#This Row],[units_sold]])</f>
        <v>182947.19999999998</v>
      </c>
      <c r="I876" t="str">
        <f>IF(Table1[[#This Row],[in_stock]]=TRUE,"Available","Out of stock")</f>
        <v>Available</v>
      </c>
      <c r="J876" t="str">
        <f>IF(Table1[[#This Row],[rating]]&gt;=4,"High",IF(Table1[[#This Row],[rating]]&gt;=2.5,"Medium","Low"))</f>
        <v>Medium</v>
      </c>
      <c r="K876" t="str">
        <f>IF(Table1[[#This Row],[price]]&lt;200,"Budget",IF(Table1[[#This Row],[price]]&lt;600,"Mid-Range",IF(Table1[[#This Row],[price]]&lt;1000,"Premium","Luxury")))</f>
        <v>Premium</v>
      </c>
      <c r="L876" t="str">
        <f>IF(Table1[[#This Row],[units_sold]]&lt;50,"Very Low",IF(Table1[[#This Row],[units_sold]]&lt;150,"Low",IF(Table1[[#This Row],[units_sold]]&lt;300,"Medium","High")))</f>
        <v>High</v>
      </c>
      <c r="M876" t="str">
        <f t="shared" si="27"/>
        <v>Normal</v>
      </c>
      <c r="N876">
        <f>(Table1[[#This Row],[price]]*0.7)</f>
        <v>421.25999999999993</v>
      </c>
    </row>
    <row r="877" spans="1:14" x14ac:dyDescent="0.35">
      <c r="A877" t="str">
        <f t="shared" si="26"/>
        <v>P876</v>
      </c>
      <c r="B877" t="s">
        <v>10</v>
      </c>
      <c r="C877" t="s">
        <v>9</v>
      </c>
      <c r="D877">
        <v>814.2</v>
      </c>
      <c r="E877">
        <v>276</v>
      </c>
      <c r="F877">
        <v>2.4</v>
      </c>
      <c r="G877" t="b">
        <v>1</v>
      </c>
      <c r="H877">
        <f>(Table1[[#This Row],[price]]*Table1[[#This Row],[units_sold]])</f>
        <v>224719.2</v>
      </c>
      <c r="I877" t="str">
        <f>IF(Table1[[#This Row],[in_stock]]=TRUE,"Available","Out of stock")</f>
        <v>Available</v>
      </c>
      <c r="J877" t="str">
        <f>IF(Table1[[#This Row],[rating]]&gt;=4,"High",IF(Table1[[#This Row],[rating]]&gt;=2.5,"Medium","Low"))</f>
        <v>Low</v>
      </c>
      <c r="K877" t="str">
        <f>IF(Table1[[#This Row],[price]]&lt;200,"Budget",IF(Table1[[#This Row],[price]]&lt;600,"Mid-Range",IF(Table1[[#This Row],[price]]&lt;1000,"Premium","Luxury")))</f>
        <v>Premium</v>
      </c>
      <c r="L877" t="str">
        <f>IF(Table1[[#This Row],[units_sold]]&lt;50,"Very Low",IF(Table1[[#This Row],[units_sold]]&lt;150,"Low",IF(Table1[[#This Row],[units_sold]]&lt;300,"Medium","High")))</f>
        <v>Medium</v>
      </c>
      <c r="M877" t="str">
        <f t="shared" si="27"/>
        <v>Normal</v>
      </c>
      <c r="N877">
        <f>(Table1[[#This Row],[price]]*0.7)</f>
        <v>569.93999999999994</v>
      </c>
    </row>
    <row r="878" spans="1:14" x14ac:dyDescent="0.35">
      <c r="A878" t="str">
        <f t="shared" si="26"/>
        <v>P877</v>
      </c>
      <c r="B878" t="s">
        <v>15</v>
      </c>
      <c r="C878" t="s">
        <v>7</v>
      </c>
      <c r="D878">
        <v>945.65</v>
      </c>
      <c r="E878">
        <v>357</v>
      </c>
      <c r="F878">
        <v>2.4</v>
      </c>
      <c r="G878" t="b">
        <v>1</v>
      </c>
      <c r="H878">
        <f>(Table1[[#This Row],[price]]*Table1[[#This Row],[units_sold]])</f>
        <v>337597.05</v>
      </c>
      <c r="I878" t="str">
        <f>IF(Table1[[#This Row],[in_stock]]=TRUE,"Available","Out of stock")</f>
        <v>Available</v>
      </c>
      <c r="J878" t="str">
        <f>IF(Table1[[#This Row],[rating]]&gt;=4,"High",IF(Table1[[#This Row],[rating]]&gt;=2.5,"Medium","Low"))</f>
        <v>Low</v>
      </c>
      <c r="K878" t="str">
        <f>IF(Table1[[#This Row],[price]]&lt;200,"Budget",IF(Table1[[#This Row],[price]]&lt;600,"Mid-Range",IF(Table1[[#This Row],[price]]&lt;1000,"Premium","Luxury")))</f>
        <v>Premium</v>
      </c>
      <c r="L878" t="str">
        <f>IF(Table1[[#This Row],[units_sold]]&lt;50,"Very Low",IF(Table1[[#This Row],[units_sold]]&lt;150,"Low",IF(Table1[[#This Row],[units_sold]]&lt;300,"Medium","High")))</f>
        <v>High</v>
      </c>
      <c r="M878" t="str">
        <f t="shared" si="27"/>
        <v>Normal</v>
      </c>
      <c r="N878">
        <f>(Table1[[#This Row],[price]]*0.7)</f>
        <v>661.95499999999993</v>
      </c>
    </row>
    <row r="879" spans="1:14" x14ac:dyDescent="0.35">
      <c r="A879" t="str">
        <f t="shared" si="26"/>
        <v>P878</v>
      </c>
      <c r="B879" t="s">
        <v>12</v>
      </c>
      <c r="C879" t="s">
        <v>7</v>
      </c>
      <c r="D879">
        <v>1014.71</v>
      </c>
      <c r="E879">
        <v>451</v>
      </c>
      <c r="F879">
        <v>4.3</v>
      </c>
      <c r="G879" t="b">
        <v>1</v>
      </c>
      <c r="H879">
        <f>(Table1[[#This Row],[price]]*Table1[[#This Row],[units_sold]])</f>
        <v>457634.21</v>
      </c>
      <c r="I879" t="str">
        <f>IF(Table1[[#This Row],[in_stock]]=TRUE,"Available","Out of stock")</f>
        <v>Available</v>
      </c>
      <c r="J879" t="str">
        <f>IF(Table1[[#This Row],[rating]]&gt;=4,"High",IF(Table1[[#This Row],[rating]]&gt;=2.5,"Medium","Low"))</f>
        <v>High</v>
      </c>
      <c r="K879" t="str">
        <f>IF(Table1[[#This Row],[price]]&lt;200,"Budget",IF(Table1[[#This Row],[price]]&lt;600,"Mid-Range",IF(Table1[[#This Row],[price]]&lt;1000,"Premium","Luxury")))</f>
        <v>Luxury</v>
      </c>
      <c r="L879" t="str">
        <f>IF(Table1[[#This Row],[units_sold]]&lt;50,"Very Low",IF(Table1[[#This Row],[units_sold]]&lt;150,"Low",IF(Table1[[#This Row],[units_sold]]&lt;300,"Medium","High")))</f>
        <v>High</v>
      </c>
      <c r="M879" t="str">
        <f t="shared" si="27"/>
        <v>Normal</v>
      </c>
      <c r="N879">
        <f>(Table1[[#This Row],[price]]*0.7)</f>
        <v>710.29700000000003</v>
      </c>
    </row>
    <row r="880" spans="1:14" x14ac:dyDescent="0.35">
      <c r="A880" t="str">
        <f t="shared" si="26"/>
        <v>P879</v>
      </c>
      <c r="B880" t="s">
        <v>17</v>
      </c>
      <c r="C880" t="s">
        <v>7</v>
      </c>
      <c r="D880">
        <v>803.4</v>
      </c>
      <c r="E880">
        <v>172</v>
      </c>
      <c r="F880">
        <v>4.2</v>
      </c>
      <c r="G880" t="b">
        <v>1</v>
      </c>
      <c r="H880">
        <f>(Table1[[#This Row],[price]]*Table1[[#This Row],[units_sold]])</f>
        <v>138184.79999999999</v>
      </c>
      <c r="I880" t="str">
        <f>IF(Table1[[#This Row],[in_stock]]=TRUE,"Available","Out of stock")</f>
        <v>Available</v>
      </c>
      <c r="J880" t="str">
        <f>IF(Table1[[#This Row],[rating]]&gt;=4,"High",IF(Table1[[#This Row],[rating]]&gt;=2.5,"Medium","Low"))</f>
        <v>High</v>
      </c>
      <c r="K880" t="str">
        <f>IF(Table1[[#This Row],[price]]&lt;200,"Budget",IF(Table1[[#This Row],[price]]&lt;600,"Mid-Range",IF(Table1[[#This Row],[price]]&lt;1000,"Premium","Luxury")))</f>
        <v>Premium</v>
      </c>
      <c r="L880" t="str">
        <f>IF(Table1[[#This Row],[units_sold]]&lt;50,"Very Low",IF(Table1[[#This Row],[units_sold]]&lt;150,"Low",IF(Table1[[#This Row],[units_sold]]&lt;300,"Medium","High")))</f>
        <v>Medium</v>
      </c>
      <c r="M880" t="str">
        <f t="shared" si="27"/>
        <v>Normal</v>
      </c>
      <c r="N880">
        <f>(Table1[[#This Row],[price]]*0.7)</f>
        <v>562.38</v>
      </c>
    </row>
    <row r="881" spans="1:14" x14ac:dyDescent="0.35">
      <c r="A881" t="str">
        <f t="shared" si="26"/>
        <v>P880</v>
      </c>
      <c r="B881" t="s">
        <v>13</v>
      </c>
      <c r="C881" t="s">
        <v>9</v>
      </c>
      <c r="D881">
        <v>1084.92</v>
      </c>
      <c r="E881">
        <v>417</v>
      </c>
      <c r="F881">
        <v>2.2000000000000002</v>
      </c>
      <c r="G881" t="b">
        <v>1</v>
      </c>
      <c r="H881">
        <f>(Table1[[#This Row],[price]]*Table1[[#This Row],[units_sold]])</f>
        <v>452411.64</v>
      </c>
      <c r="I881" t="str">
        <f>IF(Table1[[#This Row],[in_stock]]=TRUE,"Available","Out of stock")</f>
        <v>Available</v>
      </c>
      <c r="J881" t="str">
        <f>IF(Table1[[#This Row],[rating]]&gt;=4,"High",IF(Table1[[#This Row],[rating]]&gt;=2.5,"Medium","Low"))</f>
        <v>Low</v>
      </c>
      <c r="K881" t="str">
        <f>IF(Table1[[#This Row],[price]]&lt;200,"Budget",IF(Table1[[#This Row],[price]]&lt;600,"Mid-Range",IF(Table1[[#This Row],[price]]&lt;1000,"Premium","Luxury")))</f>
        <v>Luxury</v>
      </c>
      <c r="L881" t="str">
        <f>IF(Table1[[#This Row],[units_sold]]&lt;50,"Very Low",IF(Table1[[#This Row],[units_sold]]&lt;150,"Low",IF(Table1[[#This Row],[units_sold]]&lt;300,"Medium","High")))</f>
        <v>High</v>
      </c>
      <c r="M881" t="str">
        <f t="shared" si="27"/>
        <v>Normal</v>
      </c>
      <c r="N881">
        <f>(Table1[[#This Row],[price]]*0.7)</f>
        <v>759.44399999999996</v>
      </c>
    </row>
    <row r="882" spans="1:14" x14ac:dyDescent="0.35">
      <c r="A882" t="str">
        <f t="shared" si="26"/>
        <v>P881</v>
      </c>
      <c r="B882" t="s">
        <v>16</v>
      </c>
      <c r="C882" t="s">
        <v>9</v>
      </c>
      <c r="D882">
        <v>220.5</v>
      </c>
      <c r="E882">
        <v>201</v>
      </c>
      <c r="F882">
        <v>4.7</v>
      </c>
      <c r="G882" t="b">
        <v>0</v>
      </c>
      <c r="H882">
        <f>(Table1[[#This Row],[price]]*Table1[[#This Row],[units_sold]])</f>
        <v>44320.5</v>
      </c>
      <c r="I882" t="str">
        <f>IF(Table1[[#This Row],[in_stock]]=TRUE,"Available","Out of stock")</f>
        <v>Out of stock</v>
      </c>
      <c r="J882" t="str">
        <f>IF(Table1[[#This Row],[rating]]&gt;=4,"High",IF(Table1[[#This Row],[rating]]&gt;=2.5,"Medium","Low"))</f>
        <v>High</v>
      </c>
      <c r="K882" t="str">
        <f>IF(Table1[[#This Row],[price]]&lt;200,"Budget",IF(Table1[[#This Row],[price]]&lt;600,"Mid-Range",IF(Table1[[#This Row],[price]]&lt;1000,"Premium","Luxury")))</f>
        <v>Mid-Range</v>
      </c>
      <c r="L882" t="str">
        <f>IF(Table1[[#This Row],[units_sold]]&lt;50,"Very Low",IF(Table1[[#This Row],[units_sold]]&lt;150,"Low",IF(Table1[[#This Row],[units_sold]]&lt;300,"Medium","High")))</f>
        <v>Medium</v>
      </c>
      <c r="M882" t="str">
        <f t="shared" si="27"/>
        <v>Normal</v>
      </c>
      <c r="N882">
        <f>(Table1[[#This Row],[price]]*0.7)</f>
        <v>154.35</v>
      </c>
    </row>
    <row r="883" spans="1:14" x14ac:dyDescent="0.35">
      <c r="A883" t="str">
        <f t="shared" si="26"/>
        <v>P882</v>
      </c>
      <c r="B883" t="s">
        <v>15</v>
      </c>
      <c r="C883" t="s">
        <v>7</v>
      </c>
      <c r="D883">
        <v>325.85000000000002</v>
      </c>
      <c r="E883">
        <v>445</v>
      </c>
      <c r="F883">
        <v>4.8</v>
      </c>
      <c r="G883" t="b">
        <v>1</v>
      </c>
      <c r="H883">
        <f>(Table1[[#This Row],[price]]*Table1[[#This Row],[units_sold]])</f>
        <v>145003.25</v>
      </c>
      <c r="I883" t="str">
        <f>IF(Table1[[#This Row],[in_stock]]=TRUE,"Available","Out of stock")</f>
        <v>Available</v>
      </c>
      <c r="J883" t="str">
        <f>IF(Table1[[#This Row],[rating]]&gt;=4,"High",IF(Table1[[#This Row],[rating]]&gt;=2.5,"Medium","Low"))</f>
        <v>High</v>
      </c>
      <c r="K883" t="str">
        <f>IF(Table1[[#This Row],[price]]&lt;200,"Budget",IF(Table1[[#This Row],[price]]&lt;600,"Mid-Range",IF(Table1[[#This Row],[price]]&lt;1000,"Premium","Luxury")))</f>
        <v>Mid-Range</v>
      </c>
      <c r="L883" t="str">
        <f>IF(Table1[[#This Row],[units_sold]]&lt;50,"Very Low",IF(Table1[[#This Row],[units_sold]]&lt;150,"Low",IF(Table1[[#This Row],[units_sold]]&lt;300,"Medium","High")))</f>
        <v>High</v>
      </c>
      <c r="M883" t="str">
        <f t="shared" si="27"/>
        <v>Normal</v>
      </c>
      <c r="N883">
        <f>(Table1[[#This Row],[price]]*0.7)</f>
        <v>228.095</v>
      </c>
    </row>
    <row r="884" spans="1:14" x14ac:dyDescent="0.35">
      <c r="A884" t="str">
        <f t="shared" si="26"/>
        <v>P883</v>
      </c>
      <c r="B884" t="s">
        <v>11</v>
      </c>
      <c r="C884" t="s">
        <v>9</v>
      </c>
      <c r="D884">
        <v>1229.92</v>
      </c>
      <c r="E884">
        <v>393</v>
      </c>
      <c r="F884">
        <v>2.2999999999999998</v>
      </c>
      <c r="G884" t="b">
        <v>1</v>
      </c>
      <c r="H884">
        <f>(Table1[[#This Row],[price]]*Table1[[#This Row],[units_sold]])</f>
        <v>483358.56000000006</v>
      </c>
      <c r="I884" t="str">
        <f>IF(Table1[[#This Row],[in_stock]]=TRUE,"Available","Out of stock")</f>
        <v>Available</v>
      </c>
      <c r="J884" t="str">
        <f>IF(Table1[[#This Row],[rating]]&gt;=4,"High",IF(Table1[[#This Row],[rating]]&gt;=2.5,"Medium","Low"))</f>
        <v>Low</v>
      </c>
      <c r="K884" t="str">
        <f>IF(Table1[[#This Row],[price]]&lt;200,"Budget",IF(Table1[[#This Row],[price]]&lt;600,"Mid-Range",IF(Table1[[#This Row],[price]]&lt;1000,"Premium","Luxury")))</f>
        <v>Luxury</v>
      </c>
      <c r="L884" t="str">
        <f>IF(Table1[[#This Row],[units_sold]]&lt;50,"Very Low",IF(Table1[[#This Row],[units_sold]]&lt;150,"Low",IF(Table1[[#This Row],[units_sold]]&lt;300,"Medium","High")))</f>
        <v>High</v>
      </c>
      <c r="M884" t="str">
        <f t="shared" si="27"/>
        <v>Normal</v>
      </c>
      <c r="N884">
        <f>(Table1[[#This Row],[price]]*0.7)</f>
        <v>860.94399999999996</v>
      </c>
    </row>
    <row r="885" spans="1:14" x14ac:dyDescent="0.35">
      <c r="A885" t="str">
        <f t="shared" si="26"/>
        <v>P884</v>
      </c>
      <c r="B885" t="s">
        <v>6</v>
      </c>
      <c r="C885" t="s">
        <v>7</v>
      </c>
      <c r="D885">
        <v>490.57</v>
      </c>
      <c r="E885">
        <v>324</v>
      </c>
      <c r="F885">
        <v>2.4</v>
      </c>
      <c r="G885" t="b">
        <v>1</v>
      </c>
      <c r="H885">
        <f>(Table1[[#This Row],[price]]*Table1[[#This Row],[units_sold]])</f>
        <v>158944.68</v>
      </c>
      <c r="I885" t="str">
        <f>IF(Table1[[#This Row],[in_stock]]=TRUE,"Available","Out of stock")</f>
        <v>Available</v>
      </c>
      <c r="J885" t="str">
        <f>IF(Table1[[#This Row],[rating]]&gt;=4,"High",IF(Table1[[#This Row],[rating]]&gt;=2.5,"Medium","Low"))</f>
        <v>Low</v>
      </c>
      <c r="K885" t="str">
        <f>IF(Table1[[#This Row],[price]]&lt;200,"Budget",IF(Table1[[#This Row],[price]]&lt;600,"Mid-Range",IF(Table1[[#This Row],[price]]&lt;1000,"Premium","Luxury")))</f>
        <v>Mid-Range</v>
      </c>
      <c r="L885" t="str">
        <f>IF(Table1[[#This Row],[units_sold]]&lt;50,"Very Low",IF(Table1[[#This Row],[units_sold]]&lt;150,"Low",IF(Table1[[#This Row],[units_sold]]&lt;300,"Medium","High")))</f>
        <v>High</v>
      </c>
      <c r="M885" t="str">
        <f t="shared" si="27"/>
        <v>Normal</v>
      </c>
      <c r="N885">
        <f>(Table1[[#This Row],[price]]*0.7)</f>
        <v>343.399</v>
      </c>
    </row>
    <row r="886" spans="1:14" x14ac:dyDescent="0.35">
      <c r="A886" t="str">
        <f t="shared" si="26"/>
        <v>P885</v>
      </c>
      <c r="B886" t="s">
        <v>10</v>
      </c>
      <c r="C886" t="s">
        <v>9</v>
      </c>
      <c r="D886">
        <v>44.11</v>
      </c>
      <c r="E886">
        <v>35</v>
      </c>
      <c r="F886">
        <v>3</v>
      </c>
      <c r="G886" t="b">
        <v>1</v>
      </c>
      <c r="H886">
        <f>(Table1[[#This Row],[price]]*Table1[[#This Row],[units_sold]])</f>
        <v>1543.85</v>
      </c>
      <c r="I886" t="str">
        <f>IF(Table1[[#This Row],[in_stock]]=TRUE,"Available","Out of stock")</f>
        <v>Available</v>
      </c>
      <c r="J886" t="str">
        <f>IF(Table1[[#This Row],[rating]]&gt;=4,"High",IF(Table1[[#This Row],[rating]]&gt;=2.5,"Medium","Low"))</f>
        <v>Medium</v>
      </c>
      <c r="K886" t="str">
        <f>IF(Table1[[#This Row],[price]]&lt;200,"Budget",IF(Table1[[#This Row],[price]]&lt;600,"Mid-Range",IF(Table1[[#This Row],[price]]&lt;1000,"Premium","Luxury")))</f>
        <v>Budget</v>
      </c>
      <c r="L886" t="str">
        <f>IF(Table1[[#This Row],[units_sold]]&lt;50,"Very Low",IF(Table1[[#This Row],[units_sold]]&lt;150,"Low",IF(Table1[[#This Row],[units_sold]]&lt;300,"Medium","High")))</f>
        <v>Very Low</v>
      </c>
      <c r="M886" t="str">
        <f t="shared" si="27"/>
        <v>Normal</v>
      </c>
      <c r="N886">
        <f>(Table1[[#This Row],[price]]*0.7)</f>
        <v>30.876999999999999</v>
      </c>
    </row>
    <row r="887" spans="1:14" x14ac:dyDescent="0.35">
      <c r="A887" t="str">
        <f t="shared" si="26"/>
        <v>P886</v>
      </c>
      <c r="B887" t="s">
        <v>12</v>
      </c>
      <c r="C887" t="s">
        <v>7</v>
      </c>
      <c r="D887">
        <v>239.15</v>
      </c>
      <c r="E887">
        <v>465</v>
      </c>
      <c r="F887">
        <v>4.8</v>
      </c>
      <c r="G887" t="b">
        <v>1</v>
      </c>
      <c r="H887">
        <f>(Table1[[#This Row],[price]]*Table1[[#This Row],[units_sold]])</f>
        <v>111204.75</v>
      </c>
      <c r="I887" t="str">
        <f>IF(Table1[[#This Row],[in_stock]]=TRUE,"Available","Out of stock")</f>
        <v>Available</v>
      </c>
      <c r="J887" t="str">
        <f>IF(Table1[[#This Row],[rating]]&gt;=4,"High",IF(Table1[[#This Row],[rating]]&gt;=2.5,"Medium","Low"))</f>
        <v>High</v>
      </c>
      <c r="K887" t="str">
        <f>IF(Table1[[#This Row],[price]]&lt;200,"Budget",IF(Table1[[#This Row],[price]]&lt;600,"Mid-Range",IF(Table1[[#This Row],[price]]&lt;1000,"Premium","Luxury")))</f>
        <v>Mid-Range</v>
      </c>
      <c r="L887" t="str">
        <f>IF(Table1[[#This Row],[units_sold]]&lt;50,"Very Low",IF(Table1[[#This Row],[units_sold]]&lt;150,"Low",IF(Table1[[#This Row],[units_sold]]&lt;300,"Medium","High")))</f>
        <v>High</v>
      </c>
      <c r="M887" t="str">
        <f t="shared" si="27"/>
        <v>Normal</v>
      </c>
      <c r="N887">
        <f>(Table1[[#This Row],[price]]*0.7)</f>
        <v>167.405</v>
      </c>
    </row>
    <row r="888" spans="1:14" x14ac:dyDescent="0.35">
      <c r="A888" t="str">
        <f t="shared" si="26"/>
        <v>P887</v>
      </c>
      <c r="B888" t="s">
        <v>14</v>
      </c>
      <c r="C888" t="s">
        <v>9</v>
      </c>
      <c r="D888">
        <v>343.19</v>
      </c>
      <c r="E888">
        <v>482</v>
      </c>
      <c r="F888">
        <v>4.5</v>
      </c>
      <c r="G888" t="b">
        <v>1</v>
      </c>
      <c r="H888">
        <f>(Table1[[#This Row],[price]]*Table1[[#This Row],[units_sold]])</f>
        <v>165417.57999999999</v>
      </c>
      <c r="I888" t="str">
        <f>IF(Table1[[#This Row],[in_stock]]=TRUE,"Available","Out of stock")</f>
        <v>Available</v>
      </c>
      <c r="J888" t="str">
        <f>IF(Table1[[#This Row],[rating]]&gt;=4,"High",IF(Table1[[#This Row],[rating]]&gt;=2.5,"Medium","Low"))</f>
        <v>High</v>
      </c>
      <c r="K888" t="str">
        <f>IF(Table1[[#This Row],[price]]&lt;200,"Budget",IF(Table1[[#This Row],[price]]&lt;600,"Mid-Range",IF(Table1[[#This Row],[price]]&lt;1000,"Premium","Luxury")))</f>
        <v>Mid-Range</v>
      </c>
      <c r="L888" t="str">
        <f>IF(Table1[[#This Row],[units_sold]]&lt;50,"Very Low",IF(Table1[[#This Row],[units_sold]]&lt;150,"Low",IF(Table1[[#This Row],[units_sold]]&lt;300,"Medium","High")))</f>
        <v>High</v>
      </c>
      <c r="M888" t="str">
        <f t="shared" si="27"/>
        <v>Normal</v>
      </c>
      <c r="N888">
        <f>(Table1[[#This Row],[price]]*0.7)</f>
        <v>240.23299999999998</v>
      </c>
    </row>
    <row r="889" spans="1:14" x14ac:dyDescent="0.35">
      <c r="A889" t="str">
        <f t="shared" si="26"/>
        <v>P888</v>
      </c>
      <c r="B889" t="s">
        <v>10</v>
      </c>
      <c r="C889" t="s">
        <v>9</v>
      </c>
      <c r="D889">
        <v>1436.41</v>
      </c>
      <c r="E889">
        <v>216</v>
      </c>
      <c r="F889">
        <v>1.4</v>
      </c>
      <c r="G889" t="b">
        <v>1</v>
      </c>
      <c r="H889">
        <f>(Table1[[#This Row],[price]]*Table1[[#This Row],[units_sold]])</f>
        <v>310264.56</v>
      </c>
      <c r="I889" t="str">
        <f>IF(Table1[[#This Row],[in_stock]]=TRUE,"Available","Out of stock")</f>
        <v>Available</v>
      </c>
      <c r="J889" t="str">
        <f>IF(Table1[[#This Row],[rating]]&gt;=4,"High",IF(Table1[[#This Row],[rating]]&gt;=2.5,"Medium","Low"))</f>
        <v>Low</v>
      </c>
      <c r="K889" t="str">
        <f>IF(Table1[[#This Row],[price]]&lt;200,"Budget",IF(Table1[[#This Row],[price]]&lt;600,"Mid-Range",IF(Table1[[#This Row],[price]]&lt;1000,"Premium","Luxury")))</f>
        <v>Luxury</v>
      </c>
      <c r="L889" t="str">
        <f>IF(Table1[[#This Row],[units_sold]]&lt;50,"Very Low",IF(Table1[[#This Row],[units_sold]]&lt;150,"Low",IF(Table1[[#This Row],[units_sold]]&lt;300,"Medium","High")))</f>
        <v>Medium</v>
      </c>
      <c r="M889" t="str">
        <f t="shared" si="27"/>
        <v>Normal</v>
      </c>
      <c r="N889">
        <f>(Table1[[#This Row],[price]]*0.7)</f>
        <v>1005.487</v>
      </c>
    </row>
    <row r="890" spans="1:14" x14ac:dyDescent="0.35">
      <c r="A890" t="str">
        <f t="shared" si="26"/>
        <v>P889</v>
      </c>
      <c r="B890" t="s">
        <v>11</v>
      </c>
      <c r="C890" t="s">
        <v>9</v>
      </c>
      <c r="D890">
        <v>863.83</v>
      </c>
      <c r="E890">
        <v>480</v>
      </c>
      <c r="F890">
        <v>2.6</v>
      </c>
      <c r="G890" t="b">
        <v>1</v>
      </c>
      <c r="H890">
        <f>(Table1[[#This Row],[price]]*Table1[[#This Row],[units_sold]])</f>
        <v>414638.4</v>
      </c>
      <c r="I890" t="str">
        <f>IF(Table1[[#This Row],[in_stock]]=TRUE,"Available","Out of stock")</f>
        <v>Available</v>
      </c>
      <c r="J890" t="str">
        <f>IF(Table1[[#This Row],[rating]]&gt;=4,"High",IF(Table1[[#This Row],[rating]]&gt;=2.5,"Medium","Low"))</f>
        <v>Medium</v>
      </c>
      <c r="K890" t="str">
        <f>IF(Table1[[#This Row],[price]]&lt;200,"Budget",IF(Table1[[#This Row],[price]]&lt;600,"Mid-Range",IF(Table1[[#This Row],[price]]&lt;1000,"Premium","Luxury")))</f>
        <v>Premium</v>
      </c>
      <c r="L890" t="str">
        <f>IF(Table1[[#This Row],[units_sold]]&lt;50,"Very Low",IF(Table1[[#This Row],[units_sold]]&lt;150,"Low",IF(Table1[[#This Row],[units_sold]]&lt;300,"Medium","High")))</f>
        <v>High</v>
      </c>
      <c r="M890" t="str">
        <f t="shared" si="27"/>
        <v>Normal</v>
      </c>
      <c r="N890">
        <f>(Table1[[#This Row],[price]]*0.7)</f>
        <v>604.68100000000004</v>
      </c>
    </row>
    <row r="891" spans="1:14" x14ac:dyDescent="0.35">
      <c r="A891" t="str">
        <f t="shared" si="26"/>
        <v>P890</v>
      </c>
      <c r="B891" t="s">
        <v>6</v>
      </c>
      <c r="C891" t="s">
        <v>7</v>
      </c>
      <c r="D891">
        <v>1399.77</v>
      </c>
      <c r="E891">
        <v>65</v>
      </c>
      <c r="F891">
        <v>3.2</v>
      </c>
      <c r="G891" t="b">
        <v>0</v>
      </c>
      <c r="H891">
        <f>(Table1[[#This Row],[price]]*Table1[[#This Row],[units_sold]])</f>
        <v>90985.05</v>
      </c>
      <c r="I891" t="str">
        <f>IF(Table1[[#This Row],[in_stock]]=TRUE,"Available","Out of stock")</f>
        <v>Out of stock</v>
      </c>
      <c r="J891" t="str">
        <f>IF(Table1[[#This Row],[rating]]&gt;=4,"High",IF(Table1[[#This Row],[rating]]&gt;=2.5,"Medium","Low"))</f>
        <v>Medium</v>
      </c>
      <c r="K891" t="str">
        <f>IF(Table1[[#This Row],[price]]&lt;200,"Budget",IF(Table1[[#This Row],[price]]&lt;600,"Mid-Range",IF(Table1[[#This Row],[price]]&lt;1000,"Premium","Luxury")))</f>
        <v>Luxury</v>
      </c>
      <c r="L891" t="str">
        <f>IF(Table1[[#This Row],[units_sold]]&lt;50,"Very Low",IF(Table1[[#This Row],[units_sold]]&lt;150,"Low",IF(Table1[[#This Row],[units_sold]]&lt;300,"Medium","High")))</f>
        <v>Low</v>
      </c>
      <c r="M891" t="str">
        <f t="shared" si="27"/>
        <v>Normal</v>
      </c>
      <c r="N891">
        <f>(Table1[[#This Row],[price]]*0.7)</f>
        <v>979.83899999999994</v>
      </c>
    </row>
    <row r="892" spans="1:14" x14ac:dyDescent="0.35">
      <c r="A892" t="str">
        <f t="shared" si="26"/>
        <v>P891</v>
      </c>
      <c r="B892" t="s">
        <v>11</v>
      </c>
      <c r="C892" t="s">
        <v>9</v>
      </c>
      <c r="D892">
        <v>866.99</v>
      </c>
      <c r="E892">
        <v>8</v>
      </c>
      <c r="F892">
        <v>3</v>
      </c>
      <c r="G892" t="b">
        <v>1</v>
      </c>
      <c r="H892">
        <f>(Table1[[#This Row],[price]]*Table1[[#This Row],[units_sold]])</f>
        <v>6935.92</v>
      </c>
      <c r="I892" t="str">
        <f>IF(Table1[[#This Row],[in_stock]]=TRUE,"Available","Out of stock")</f>
        <v>Available</v>
      </c>
      <c r="J892" t="str">
        <f>IF(Table1[[#This Row],[rating]]&gt;=4,"High",IF(Table1[[#This Row],[rating]]&gt;=2.5,"Medium","Low"))</f>
        <v>Medium</v>
      </c>
      <c r="K892" t="str">
        <f>IF(Table1[[#This Row],[price]]&lt;200,"Budget",IF(Table1[[#This Row],[price]]&lt;600,"Mid-Range",IF(Table1[[#This Row],[price]]&lt;1000,"Premium","Luxury")))</f>
        <v>Premium</v>
      </c>
      <c r="L892" t="str">
        <f>IF(Table1[[#This Row],[units_sold]]&lt;50,"Very Low",IF(Table1[[#This Row],[units_sold]]&lt;150,"Low",IF(Table1[[#This Row],[units_sold]]&lt;300,"Medium","High")))</f>
        <v>Very Low</v>
      </c>
      <c r="M892" t="str">
        <f t="shared" si="27"/>
        <v>Normal</v>
      </c>
      <c r="N892">
        <f>(Table1[[#This Row],[price]]*0.7)</f>
        <v>606.89299999999992</v>
      </c>
    </row>
    <row r="893" spans="1:14" x14ac:dyDescent="0.35">
      <c r="A893" t="str">
        <f t="shared" si="26"/>
        <v>P892</v>
      </c>
      <c r="B893" t="s">
        <v>17</v>
      </c>
      <c r="C893" t="s">
        <v>7</v>
      </c>
      <c r="D893">
        <v>724.24</v>
      </c>
      <c r="E893">
        <v>301</v>
      </c>
      <c r="F893">
        <v>1.8</v>
      </c>
      <c r="G893" t="b">
        <v>1</v>
      </c>
      <c r="H893">
        <f>(Table1[[#This Row],[price]]*Table1[[#This Row],[units_sold]])</f>
        <v>217996.24</v>
      </c>
      <c r="I893" t="str">
        <f>IF(Table1[[#This Row],[in_stock]]=TRUE,"Available","Out of stock")</f>
        <v>Available</v>
      </c>
      <c r="J893" t="str">
        <f>IF(Table1[[#This Row],[rating]]&gt;=4,"High",IF(Table1[[#This Row],[rating]]&gt;=2.5,"Medium","Low"))</f>
        <v>Low</v>
      </c>
      <c r="K893" t="str">
        <f>IF(Table1[[#This Row],[price]]&lt;200,"Budget",IF(Table1[[#This Row],[price]]&lt;600,"Mid-Range",IF(Table1[[#This Row],[price]]&lt;1000,"Premium","Luxury")))</f>
        <v>Premium</v>
      </c>
      <c r="L893" t="str">
        <f>IF(Table1[[#This Row],[units_sold]]&lt;50,"Very Low",IF(Table1[[#This Row],[units_sold]]&lt;150,"Low",IF(Table1[[#This Row],[units_sold]]&lt;300,"Medium","High")))</f>
        <v>High</v>
      </c>
      <c r="M893" t="str">
        <f t="shared" si="27"/>
        <v>Normal</v>
      </c>
      <c r="N893">
        <f>(Table1[[#This Row],[price]]*0.7)</f>
        <v>506.96799999999996</v>
      </c>
    </row>
    <row r="894" spans="1:14" x14ac:dyDescent="0.35">
      <c r="A894" t="str">
        <f t="shared" si="26"/>
        <v>P893</v>
      </c>
      <c r="B894" t="s">
        <v>16</v>
      </c>
      <c r="C894" t="s">
        <v>9</v>
      </c>
      <c r="D894">
        <v>477.45</v>
      </c>
      <c r="E894">
        <v>343</v>
      </c>
      <c r="F894">
        <v>4.4000000000000004</v>
      </c>
      <c r="G894" t="b">
        <v>0</v>
      </c>
      <c r="H894">
        <f>(Table1[[#This Row],[price]]*Table1[[#This Row],[units_sold]])</f>
        <v>163765.35</v>
      </c>
      <c r="I894" t="str">
        <f>IF(Table1[[#This Row],[in_stock]]=TRUE,"Available","Out of stock")</f>
        <v>Out of stock</v>
      </c>
      <c r="J894" t="str">
        <f>IF(Table1[[#This Row],[rating]]&gt;=4,"High",IF(Table1[[#This Row],[rating]]&gt;=2.5,"Medium","Low"))</f>
        <v>High</v>
      </c>
      <c r="K894" t="str">
        <f>IF(Table1[[#This Row],[price]]&lt;200,"Budget",IF(Table1[[#This Row],[price]]&lt;600,"Mid-Range",IF(Table1[[#This Row],[price]]&lt;1000,"Premium","Luxury")))</f>
        <v>Mid-Range</v>
      </c>
      <c r="L894" t="str">
        <f>IF(Table1[[#This Row],[units_sold]]&lt;50,"Very Low",IF(Table1[[#This Row],[units_sold]]&lt;150,"Low",IF(Table1[[#This Row],[units_sold]]&lt;300,"Medium","High")))</f>
        <v>High</v>
      </c>
      <c r="M894" t="str">
        <f t="shared" si="27"/>
        <v>High Demand - Out of Stock</v>
      </c>
      <c r="N894">
        <f>(Table1[[#This Row],[price]]*0.7)</f>
        <v>334.21499999999997</v>
      </c>
    </row>
    <row r="895" spans="1:14" x14ac:dyDescent="0.35">
      <c r="A895" t="str">
        <f t="shared" si="26"/>
        <v>P894</v>
      </c>
      <c r="B895" t="s">
        <v>12</v>
      </c>
      <c r="C895" t="s">
        <v>7</v>
      </c>
      <c r="D895">
        <v>913.49</v>
      </c>
      <c r="E895">
        <v>431</v>
      </c>
      <c r="F895">
        <v>3.7</v>
      </c>
      <c r="G895" t="b">
        <v>1</v>
      </c>
      <c r="H895">
        <f>(Table1[[#This Row],[price]]*Table1[[#This Row],[units_sold]])</f>
        <v>393714.19</v>
      </c>
      <c r="I895" t="str">
        <f>IF(Table1[[#This Row],[in_stock]]=TRUE,"Available","Out of stock")</f>
        <v>Available</v>
      </c>
      <c r="J895" t="str">
        <f>IF(Table1[[#This Row],[rating]]&gt;=4,"High",IF(Table1[[#This Row],[rating]]&gt;=2.5,"Medium","Low"))</f>
        <v>Medium</v>
      </c>
      <c r="K895" t="str">
        <f>IF(Table1[[#This Row],[price]]&lt;200,"Budget",IF(Table1[[#This Row],[price]]&lt;600,"Mid-Range",IF(Table1[[#This Row],[price]]&lt;1000,"Premium","Luxury")))</f>
        <v>Premium</v>
      </c>
      <c r="L895" t="str">
        <f>IF(Table1[[#This Row],[units_sold]]&lt;50,"Very Low",IF(Table1[[#This Row],[units_sold]]&lt;150,"Low",IF(Table1[[#This Row],[units_sold]]&lt;300,"Medium","High")))</f>
        <v>High</v>
      </c>
      <c r="M895" t="str">
        <f t="shared" si="27"/>
        <v>Normal</v>
      </c>
      <c r="N895">
        <f>(Table1[[#This Row],[price]]*0.7)</f>
        <v>639.44299999999998</v>
      </c>
    </row>
    <row r="896" spans="1:14" x14ac:dyDescent="0.35">
      <c r="A896" t="str">
        <f t="shared" si="26"/>
        <v>P895</v>
      </c>
      <c r="B896" t="s">
        <v>8</v>
      </c>
      <c r="C896" t="s">
        <v>9</v>
      </c>
      <c r="D896">
        <v>217.41</v>
      </c>
      <c r="E896">
        <v>424</v>
      </c>
      <c r="F896">
        <v>4.4000000000000004</v>
      </c>
      <c r="G896" t="b">
        <v>1</v>
      </c>
      <c r="H896">
        <f>(Table1[[#This Row],[price]]*Table1[[#This Row],[units_sold]])</f>
        <v>92181.84</v>
      </c>
      <c r="I896" t="str">
        <f>IF(Table1[[#This Row],[in_stock]]=TRUE,"Available","Out of stock")</f>
        <v>Available</v>
      </c>
      <c r="J896" t="str">
        <f>IF(Table1[[#This Row],[rating]]&gt;=4,"High",IF(Table1[[#This Row],[rating]]&gt;=2.5,"Medium","Low"))</f>
        <v>High</v>
      </c>
      <c r="K896" t="str">
        <f>IF(Table1[[#This Row],[price]]&lt;200,"Budget",IF(Table1[[#This Row],[price]]&lt;600,"Mid-Range",IF(Table1[[#This Row],[price]]&lt;1000,"Premium","Luxury")))</f>
        <v>Mid-Range</v>
      </c>
      <c r="L896" t="str">
        <f>IF(Table1[[#This Row],[units_sold]]&lt;50,"Very Low",IF(Table1[[#This Row],[units_sold]]&lt;150,"Low",IF(Table1[[#This Row],[units_sold]]&lt;300,"Medium","High")))</f>
        <v>High</v>
      </c>
      <c r="M896" t="str">
        <f t="shared" si="27"/>
        <v>Normal</v>
      </c>
      <c r="N896">
        <f>(Table1[[#This Row],[price]]*0.7)</f>
        <v>152.18699999999998</v>
      </c>
    </row>
    <row r="897" spans="1:14" x14ac:dyDescent="0.35">
      <c r="A897" t="str">
        <f t="shared" si="26"/>
        <v>P896</v>
      </c>
      <c r="B897" t="s">
        <v>16</v>
      </c>
      <c r="C897" t="s">
        <v>9</v>
      </c>
      <c r="D897">
        <v>1348.41</v>
      </c>
      <c r="E897">
        <v>332</v>
      </c>
      <c r="F897">
        <v>4.4000000000000004</v>
      </c>
      <c r="G897" t="b">
        <v>1</v>
      </c>
      <c r="H897">
        <f>(Table1[[#This Row],[price]]*Table1[[#This Row],[units_sold]])</f>
        <v>447672.12000000005</v>
      </c>
      <c r="I897" t="str">
        <f>IF(Table1[[#This Row],[in_stock]]=TRUE,"Available","Out of stock")</f>
        <v>Available</v>
      </c>
      <c r="J897" t="str">
        <f>IF(Table1[[#This Row],[rating]]&gt;=4,"High",IF(Table1[[#This Row],[rating]]&gt;=2.5,"Medium","Low"))</f>
        <v>High</v>
      </c>
      <c r="K897" t="str">
        <f>IF(Table1[[#This Row],[price]]&lt;200,"Budget",IF(Table1[[#This Row],[price]]&lt;600,"Mid-Range",IF(Table1[[#This Row],[price]]&lt;1000,"Premium","Luxury")))</f>
        <v>Luxury</v>
      </c>
      <c r="L897" t="str">
        <f>IF(Table1[[#This Row],[units_sold]]&lt;50,"Very Low",IF(Table1[[#This Row],[units_sold]]&lt;150,"Low",IF(Table1[[#This Row],[units_sold]]&lt;300,"Medium","High")))</f>
        <v>High</v>
      </c>
      <c r="M897" t="str">
        <f t="shared" si="27"/>
        <v>Normal</v>
      </c>
      <c r="N897">
        <f>(Table1[[#This Row],[price]]*0.7)</f>
        <v>943.88699999999994</v>
      </c>
    </row>
    <row r="898" spans="1:14" x14ac:dyDescent="0.35">
      <c r="A898" t="str">
        <f t="shared" ref="A898:A961" si="28">"P"&amp;TEXT(ROW()-1,"000")</f>
        <v>P897</v>
      </c>
      <c r="B898" t="s">
        <v>8</v>
      </c>
      <c r="C898" t="s">
        <v>9</v>
      </c>
      <c r="D898">
        <v>1245.71</v>
      </c>
      <c r="E898">
        <v>438</v>
      </c>
      <c r="F898">
        <v>4</v>
      </c>
      <c r="G898" t="b">
        <v>1</v>
      </c>
      <c r="H898">
        <f>(Table1[[#This Row],[price]]*Table1[[#This Row],[units_sold]])</f>
        <v>545620.98</v>
      </c>
      <c r="I898" t="str">
        <f>IF(Table1[[#This Row],[in_stock]]=TRUE,"Available","Out of stock")</f>
        <v>Available</v>
      </c>
      <c r="J898" t="str">
        <f>IF(Table1[[#This Row],[rating]]&gt;=4,"High",IF(Table1[[#This Row],[rating]]&gt;=2.5,"Medium","Low"))</f>
        <v>High</v>
      </c>
      <c r="K898" t="str">
        <f>IF(Table1[[#This Row],[price]]&lt;200,"Budget",IF(Table1[[#This Row],[price]]&lt;600,"Mid-Range",IF(Table1[[#This Row],[price]]&lt;1000,"Premium","Luxury")))</f>
        <v>Luxury</v>
      </c>
      <c r="L898" t="str">
        <f>IF(Table1[[#This Row],[units_sold]]&lt;50,"Very Low",IF(Table1[[#This Row],[units_sold]]&lt;150,"Low",IF(Table1[[#This Row],[units_sold]]&lt;300,"Medium","High")))</f>
        <v>High</v>
      </c>
      <c r="M898" t="str">
        <f t="shared" ref="M898:M961" si="29">IF(AND(E898&gt;300,G898=FALSE),"High Demand - Out of Stock","Normal")</f>
        <v>Normal</v>
      </c>
      <c r="N898">
        <f>(Table1[[#This Row],[price]]*0.7)</f>
        <v>871.99699999999996</v>
      </c>
    </row>
    <row r="899" spans="1:14" x14ac:dyDescent="0.35">
      <c r="A899" t="str">
        <f t="shared" si="28"/>
        <v>P898</v>
      </c>
      <c r="B899" t="s">
        <v>6</v>
      </c>
      <c r="C899" t="s">
        <v>7</v>
      </c>
      <c r="D899">
        <v>483.12</v>
      </c>
      <c r="E899">
        <v>76</v>
      </c>
      <c r="F899">
        <v>2.8</v>
      </c>
      <c r="G899" t="b">
        <v>1</v>
      </c>
      <c r="H899">
        <f>(Table1[[#This Row],[price]]*Table1[[#This Row],[units_sold]])</f>
        <v>36717.120000000003</v>
      </c>
      <c r="I899" t="str">
        <f>IF(Table1[[#This Row],[in_stock]]=TRUE,"Available","Out of stock")</f>
        <v>Available</v>
      </c>
      <c r="J899" t="str">
        <f>IF(Table1[[#This Row],[rating]]&gt;=4,"High",IF(Table1[[#This Row],[rating]]&gt;=2.5,"Medium","Low"))</f>
        <v>Medium</v>
      </c>
      <c r="K899" t="str">
        <f>IF(Table1[[#This Row],[price]]&lt;200,"Budget",IF(Table1[[#This Row],[price]]&lt;600,"Mid-Range",IF(Table1[[#This Row],[price]]&lt;1000,"Premium","Luxury")))</f>
        <v>Mid-Range</v>
      </c>
      <c r="L899" t="str">
        <f>IF(Table1[[#This Row],[units_sold]]&lt;50,"Very Low",IF(Table1[[#This Row],[units_sold]]&lt;150,"Low",IF(Table1[[#This Row],[units_sold]]&lt;300,"Medium","High")))</f>
        <v>Low</v>
      </c>
      <c r="M899" t="str">
        <f t="shared" si="29"/>
        <v>Normal</v>
      </c>
      <c r="N899">
        <f>(Table1[[#This Row],[price]]*0.7)</f>
        <v>338.18399999999997</v>
      </c>
    </row>
    <row r="900" spans="1:14" x14ac:dyDescent="0.35">
      <c r="A900" t="str">
        <f t="shared" si="28"/>
        <v>P899</v>
      </c>
      <c r="B900" t="s">
        <v>15</v>
      </c>
      <c r="C900" t="s">
        <v>7</v>
      </c>
      <c r="D900">
        <v>1429.67</v>
      </c>
      <c r="E900">
        <v>174</v>
      </c>
      <c r="F900">
        <v>3.4</v>
      </c>
      <c r="G900" t="b">
        <v>1</v>
      </c>
      <c r="H900">
        <f>(Table1[[#This Row],[price]]*Table1[[#This Row],[units_sold]])</f>
        <v>248762.58000000002</v>
      </c>
      <c r="I900" t="str">
        <f>IF(Table1[[#This Row],[in_stock]]=TRUE,"Available","Out of stock")</f>
        <v>Available</v>
      </c>
      <c r="J900" t="str">
        <f>IF(Table1[[#This Row],[rating]]&gt;=4,"High",IF(Table1[[#This Row],[rating]]&gt;=2.5,"Medium","Low"))</f>
        <v>Medium</v>
      </c>
      <c r="K900" t="str">
        <f>IF(Table1[[#This Row],[price]]&lt;200,"Budget",IF(Table1[[#This Row],[price]]&lt;600,"Mid-Range",IF(Table1[[#This Row],[price]]&lt;1000,"Premium","Luxury")))</f>
        <v>Luxury</v>
      </c>
      <c r="L900" t="str">
        <f>IF(Table1[[#This Row],[units_sold]]&lt;50,"Very Low",IF(Table1[[#This Row],[units_sold]]&lt;150,"Low",IF(Table1[[#This Row],[units_sold]]&lt;300,"Medium","High")))</f>
        <v>Medium</v>
      </c>
      <c r="M900" t="str">
        <f t="shared" si="29"/>
        <v>Normal</v>
      </c>
      <c r="N900">
        <f>(Table1[[#This Row],[price]]*0.7)</f>
        <v>1000.769</v>
      </c>
    </row>
    <row r="901" spans="1:14" x14ac:dyDescent="0.35">
      <c r="A901" t="str">
        <f t="shared" si="28"/>
        <v>P900</v>
      </c>
      <c r="B901" t="s">
        <v>14</v>
      </c>
      <c r="C901" t="s">
        <v>9</v>
      </c>
      <c r="D901">
        <v>1239.55</v>
      </c>
      <c r="E901">
        <v>47</v>
      </c>
      <c r="F901">
        <v>1.6</v>
      </c>
      <c r="G901" t="b">
        <v>1</v>
      </c>
      <c r="H901">
        <f>(Table1[[#This Row],[price]]*Table1[[#This Row],[units_sold]])</f>
        <v>58258.85</v>
      </c>
      <c r="I901" t="str">
        <f>IF(Table1[[#This Row],[in_stock]]=TRUE,"Available","Out of stock")</f>
        <v>Available</v>
      </c>
      <c r="J901" t="str">
        <f>IF(Table1[[#This Row],[rating]]&gt;=4,"High",IF(Table1[[#This Row],[rating]]&gt;=2.5,"Medium","Low"))</f>
        <v>Low</v>
      </c>
      <c r="K901" t="str">
        <f>IF(Table1[[#This Row],[price]]&lt;200,"Budget",IF(Table1[[#This Row],[price]]&lt;600,"Mid-Range",IF(Table1[[#This Row],[price]]&lt;1000,"Premium","Luxury")))</f>
        <v>Luxury</v>
      </c>
      <c r="L901" t="str">
        <f>IF(Table1[[#This Row],[units_sold]]&lt;50,"Very Low",IF(Table1[[#This Row],[units_sold]]&lt;150,"Low",IF(Table1[[#This Row],[units_sold]]&lt;300,"Medium","High")))</f>
        <v>Very Low</v>
      </c>
      <c r="M901" t="str">
        <f t="shared" si="29"/>
        <v>Normal</v>
      </c>
      <c r="N901">
        <f>(Table1[[#This Row],[price]]*0.7)</f>
        <v>867.68499999999995</v>
      </c>
    </row>
    <row r="902" spans="1:14" x14ac:dyDescent="0.35">
      <c r="A902" t="str">
        <f t="shared" si="28"/>
        <v>P901</v>
      </c>
      <c r="B902" t="s">
        <v>13</v>
      </c>
      <c r="C902" t="s">
        <v>9</v>
      </c>
      <c r="D902">
        <v>1002.8</v>
      </c>
      <c r="E902">
        <v>15</v>
      </c>
      <c r="F902">
        <v>3.7</v>
      </c>
      <c r="G902" t="b">
        <v>1</v>
      </c>
      <c r="H902">
        <f>(Table1[[#This Row],[price]]*Table1[[#This Row],[units_sold]])</f>
        <v>15042</v>
      </c>
      <c r="I902" t="str">
        <f>IF(Table1[[#This Row],[in_stock]]=TRUE,"Available","Out of stock")</f>
        <v>Available</v>
      </c>
      <c r="J902" t="str">
        <f>IF(Table1[[#This Row],[rating]]&gt;=4,"High",IF(Table1[[#This Row],[rating]]&gt;=2.5,"Medium","Low"))</f>
        <v>Medium</v>
      </c>
      <c r="K902" t="str">
        <f>IF(Table1[[#This Row],[price]]&lt;200,"Budget",IF(Table1[[#This Row],[price]]&lt;600,"Mid-Range",IF(Table1[[#This Row],[price]]&lt;1000,"Premium","Luxury")))</f>
        <v>Luxury</v>
      </c>
      <c r="L902" t="str">
        <f>IF(Table1[[#This Row],[units_sold]]&lt;50,"Very Low",IF(Table1[[#This Row],[units_sold]]&lt;150,"Low",IF(Table1[[#This Row],[units_sold]]&lt;300,"Medium","High")))</f>
        <v>Very Low</v>
      </c>
      <c r="M902" t="str">
        <f t="shared" si="29"/>
        <v>Normal</v>
      </c>
      <c r="N902">
        <f>(Table1[[#This Row],[price]]*0.7)</f>
        <v>701.95999999999992</v>
      </c>
    </row>
    <row r="903" spans="1:14" x14ac:dyDescent="0.35">
      <c r="A903" t="str">
        <f t="shared" si="28"/>
        <v>P902</v>
      </c>
      <c r="B903" t="s">
        <v>16</v>
      </c>
      <c r="C903" t="s">
        <v>9</v>
      </c>
      <c r="D903">
        <v>191.43</v>
      </c>
      <c r="E903">
        <v>361</v>
      </c>
      <c r="F903">
        <v>1.7</v>
      </c>
      <c r="G903" t="b">
        <v>1</v>
      </c>
      <c r="H903">
        <f>(Table1[[#This Row],[price]]*Table1[[#This Row],[units_sold]])</f>
        <v>69106.23</v>
      </c>
      <c r="I903" t="str">
        <f>IF(Table1[[#This Row],[in_stock]]=TRUE,"Available","Out of stock")</f>
        <v>Available</v>
      </c>
      <c r="J903" t="str">
        <f>IF(Table1[[#This Row],[rating]]&gt;=4,"High",IF(Table1[[#This Row],[rating]]&gt;=2.5,"Medium","Low"))</f>
        <v>Low</v>
      </c>
      <c r="K903" t="str">
        <f>IF(Table1[[#This Row],[price]]&lt;200,"Budget",IF(Table1[[#This Row],[price]]&lt;600,"Mid-Range",IF(Table1[[#This Row],[price]]&lt;1000,"Premium","Luxury")))</f>
        <v>Budget</v>
      </c>
      <c r="L903" t="str">
        <f>IF(Table1[[#This Row],[units_sold]]&lt;50,"Very Low",IF(Table1[[#This Row],[units_sold]]&lt;150,"Low",IF(Table1[[#This Row],[units_sold]]&lt;300,"Medium","High")))</f>
        <v>High</v>
      </c>
      <c r="M903" t="str">
        <f t="shared" si="29"/>
        <v>Normal</v>
      </c>
      <c r="N903">
        <f>(Table1[[#This Row],[price]]*0.7)</f>
        <v>134.001</v>
      </c>
    </row>
    <row r="904" spans="1:14" x14ac:dyDescent="0.35">
      <c r="A904" t="str">
        <f t="shared" si="28"/>
        <v>P903</v>
      </c>
      <c r="B904" t="s">
        <v>12</v>
      </c>
      <c r="C904" t="s">
        <v>7</v>
      </c>
      <c r="D904">
        <v>722.57</v>
      </c>
      <c r="E904">
        <v>147</v>
      </c>
      <c r="F904">
        <v>3.8</v>
      </c>
      <c r="G904" t="b">
        <v>1</v>
      </c>
      <c r="H904">
        <f>(Table1[[#This Row],[price]]*Table1[[#This Row],[units_sold]])</f>
        <v>106217.79000000001</v>
      </c>
      <c r="I904" t="str">
        <f>IF(Table1[[#This Row],[in_stock]]=TRUE,"Available","Out of stock")</f>
        <v>Available</v>
      </c>
      <c r="J904" t="str">
        <f>IF(Table1[[#This Row],[rating]]&gt;=4,"High",IF(Table1[[#This Row],[rating]]&gt;=2.5,"Medium","Low"))</f>
        <v>Medium</v>
      </c>
      <c r="K904" t="str">
        <f>IF(Table1[[#This Row],[price]]&lt;200,"Budget",IF(Table1[[#This Row],[price]]&lt;600,"Mid-Range",IF(Table1[[#This Row],[price]]&lt;1000,"Premium","Luxury")))</f>
        <v>Premium</v>
      </c>
      <c r="L904" t="str">
        <f>IF(Table1[[#This Row],[units_sold]]&lt;50,"Very Low",IF(Table1[[#This Row],[units_sold]]&lt;150,"Low",IF(Table1[[#This Row],[units_sold]]&lt;300,"Medium","High")))</f>
        <v>Low</v>
      </c>
      <c r="M904" t="str">
        <f t="shared" si="29"/>
        <v>Normal</v>
      </c>
      <c r="N904">
        <f>(Table1[[#This Row],[price]]*0.7)</f>
        <v>505.79899999999998</v>
      </c>
    </row>
    <row r="905" spans="1:14" x14ac:dyDescent="0.35">
      <c r="A905" t="str">
        <f t="shared" si="28"/>
        <v>P904</v>
      </c>
      <c r="B905" t="s">
        <v>11</v>
      </c>
      <c r="C905" t="s">
        <v>9</v>
      </c>
      <c r="D905">
        <v>764.1</v>
      </c>
      <c r="E905">
        <v>26</v>
      </c>
      <c r="F905">
        <v>1.9</v>
      </c>
      <c r="G905" t="b">
        <v>1</v>
      </c>
      <c r="H905">
        <f>(Table1[[#This Row],[price]]*Table1[[#This Row],[units_sold]])</f>
        <v>19866.600000000002</v>
      </c>
      <c r="I905" t="str">
        <f>IF(Table1[[#This Row],[in_stock]]=TRUE,"Available","Out of stock")</f>
        <v>Available</v>
      </c>
      <c r="J905" t="str">
        <f>IF(Table1[[#This Row],[rating]]&gt;=4,"High",IF(Table1[[#This Row],[rating]]&gt;=2.5,"Medium","Low"))</f>
        <v>Low</v>
      </c>
      <c r="K905" t="str">
        <f>IF(Table1[[#This Row],[price]]&lt;200,"Budget",IF(Table1[[#This Row],[price]]&lt;600,"Mid-Range",IF(Table1[[#This Row],[price]]&lt;1000,"Premium","Luxury")))</f>
        <v>Premium</v>
      </c>
      <c r="L905" t="str">
        <f>IF(Table1[[#This Row],[units_sold]]&lt;50,"Very Low",IF(Table1[[#This Row],[units_sold]]&lt;150,"Low",IF(Table1[[#This Row],[units_sold]]&lt;300,"Medium","High")))</f>
        <v>Very Low</v>
      </c>
      <c r="M905" t="str">
        <f t="shared" si="29"/>
        <v>Normal</v>
      </c>
      <c r="N905">
        <f>(Table1[[#This Row],[price]]*0.7)</f>
        <v>534.87</v>
      </c>
    </row>
    <row r="906" spans="1:14" x14ac:dyDescent="0.35">
      <c r="A906" t="str">
        <f t="shared" si="28"/>
        <v>P905</v>
      </c>
      <c r="B906" t="s">
        <v>12</v>
      </c>
      <c r="C906" t="s">
        <v>7</v>
      </c>
      <c r="D906">
        <v>356.5</v>
      </c>
      <c r="E906">
        <v>308</v>
      </c>
      <c r="F906">
        <v>1.5</v>
      </c>
      <c r="G906" t="b">
        <v>0</v>
      </c>
      <c r="H906">
        <f>(Table1[[#This Row],[price]]*Table1[[#This Row],[units_sold]])</f>
        <v>109802</v>
      </c>
      <c r="I906" t="str">
        <f>IF(Table1[[#This Row],[in_stock]]=TRUE,"Available","Out of stock")</f>
        <v>Out of stock</v>
      </c>
      <c r="J906" t="str">
        <f>IF(Table1[[#This Row],[rating]]&gt;=4,"High",IF(Table1[[#This Row],[rating]]&gt;=2.5,"Medium","Low"))</f>
        <v>Low</v>
      </c>
      <c r="K906" t="str">
        <f>IF(Table1[[#This Row],[price]]&lt;200,"Budget",IF(Table1[[#This Row],[price]]&lt;600,"Mid-Range",IF(Table1[[#This Row],[price]]&lt;1000,"Premium","Luxury")))</f>
        <v>Mid-Range</v>
      </c>
      <c r="L906" t="str">
        <f>IF(Table1[[#This Row],[units_sold]]&lt;50,"Very Low",IF(Table1[[#This Row],[units_sold]]&lt;150,"Low",IF(Table1[[#This Row],[units_sold]]&lt;300,"Medium","High")))</f>
        <v>High</v>
      </c>
      <c r="M906" t="str">
        <f t="shared" si="29"/>
        <v>High Demand - Out of Stock</v>
      </c>
      <c r="N906">
        <f>(Table1[[#This Row],[price]]*0.7)</f>
        <v>249.54999999999998</v>
      </c>
    </row>
    <row r="907" spans="1:14" x14ac:dyDescent="0.35">
      <c r="A907" t="str">
        <f t="shared" si="28"/>
        <v>P906</v>
      </c>
      <c r="B907" t="s">
        <v>6</v>
      </c>
      <c r="C907" t="s">
        <v>7</v>
      </c>
      <c r="D907">
        <v>129.15</v>
      </c>
      <c r="E907">
        <v>93</v>
      </c>
      <c r="F907">
        <v>1.7</v>
      </c>
      <c r="G907" t="b">
        <v>1</v>
      </c>
      <c r="H907">
        <f>(Table1[[#This Row],[price]]*Table1[[#This Row],[units_sold]])</f>
        <v>12010.95</v>
      </c>
      <c r="I907" t="str">
        <f>IF(Table1[[#This Row],[in_stock]]=TRUE,"Available","Out of stock")</f>
        <v>Available</v>
      </c>
      <c r="J907" t="str">
        <f>IF(Table1[[#This Row],[rating]]&gt;=4,"High",IF(Table1[[#This Row],[rating]]&gt;=2.5,"Medium","Low"))</f>
        <v>Low</v>
      </c>
      <c r="K907" t="str">
        <f>IF(Table1[[#This Row],[price]]&lt;200,"Budget",IF(Table1[[#This Row],[price]]&lt;600,"Mid-Range",IF(Table1[[#This Row],[price]]&lt;1000,"Premium","Luxury")))</f>
        <v>Budget</v>
      </c>
      <c r="L907" t="str">
        <f>IF(Table1[[#This Row],[units_sold]]&lt;50,"Very Low",IF(Table1[[#This Row],[units_sold]]&lt;150,"Low",IF(Table1[[#This Row],[units_sold]]&lt;300,"Medium","High")))</f>
        <v>Low</v>
      </c>
      <c r="M907" t="str">
        <f t="shared" si="29"/>
        <v>Normal</v>
      </c>
      <c r="N907">
        <f>(Table1[[#This Row],[price]]*0.7)</f>
        <v>90.405000000000001</v>
      </c>
    </row>
    <row r="908" spans="1:14" x14ac:dyDescent="0.35">
      <c r="A908" t="str">
        <f t="shared" si="28"/>
        <v>P907</v>
      </c>
      <c r="B908" t="s">
        <v>8</v>
      </c>
      <c r="C908" t="s">
        <v>9</v>
      </c>
      <c r="D908">
        <v>1167.32</v>
      </c>
      <c r="E908">
        <v>406</v>
      </c>
      <c r="F908">
        <v>1</v>
      </c>
      <c r="G908" t="b">
        <v>1</v>
      </c>
      <c r="H908">
        <f>(Table1[[#This Row],[price]]*Table1[[#This Row],[units_sold]])</f>
        <v>473931.92</v>
      </c>
      <c r="I908" t="str">
        <f>IF(Table1[[#This Row],[in_stock]]=TRUE,"Available","Out of stock")</f>
        <v>Available</v>
      </c>
      <c r="J908" t="str">
        <f>IF(Table1[[#This Row],[rating]]&gt;=4,"High",IF(Table1[[#This Row],[rating]]&gt;=2.5,"Medium","Low"))</f>
        <v>Low</v>
      </c>
      <c r="K908" t="str">
        <f>IF(Table1[[#This Row],[price]]&lt;200,"Budget",IF(Table1[[#This Row],[price]]&lt;600,"Mid-Range",IF(Table1[[#This Row],[price]]&lt;1000,"Premium","Luxury")))</f>
        <v>Luxury</v>
      </c>
      <c r="L908" t="str">
        <f>IF(Table1[[#This Row],[units_sold]]&lt;50,"Very Low",IF(Table1[[#This Row],[units_sold]]&lt;150,"Low",IF(Table1[[#This Row],[units_sold]]&lt;300,"Medium","High")))</f>
        <v>High</v>
      </c>
      <c r="M908" t="str">
        <f t="shared" si="29"/>
        <v>Normal</v>
      </c>
      <c r="N908">
        <f>(Table1[[#This Row],[price]]*0.7)</f>
        <v>817.12399999999991</v>
      </c>
    </row>
    <row r="909" spans="1:14" x14ac:dyDescent="0.35">
      <c r="A909" t="str">
        <f t="shared" si="28"/>
        <v>P908</v>
      </c>
      <c r="B909" t="s">
        <v>11</v>
      </c>
      <c r="C909" t="s">
        <v>9</v>
      </c>
      <c r="D909">
        <v>191.83</v>
      </c>
      <c r="E909">
        <v>232</v>
      </c>
      <c r="F909">
        <v>3.9</v>
      </c>
      <c r="G909" t="b">
        <v>1</v>
      </c>
      <c r="H909">
        <f>(Table1[[#This Row],[price]]*Table1[[#This Row],[units_sold]])</f>
        <v>44504.560000000005</v>
      </c>
      <c r="I909" t="str">
        <f>IF(Table1[[#This Row],[in_stock]]=TRUE,"Available","Out of stock")</f>
        <v>Available</v>
      </c>
      <c r="J909" t="str">
        <f>IF(Table1[[#This Row],[rating]]&gt;=4,"High",IF(Table1[[#This Row],[rating]]&gt;=2.5,"Medium","Low"))</f>
        <v>Medium</v>
      </c>
      <c r="K909" t="str">
        <f>IF(Table1[[#This Row],[price]]&lt;200,"Budget",IF(Table1[[#This Row],[price]]&lt;600,"Mid-Range",IF(Table1[[#This Row],[price]]&lt;1000,"Premium","Luxury")))</f>
        <v>Budget</v>
      </c>
      <c r="L909" t="str">
        <f>IF(Table1[[#This Row],[units_sold]]&lt;50,"Very Low",IF(Table1[[#This Row],[units_sold]]&lt;150,"Low",IF(Table1[[#This Row],[units_sold]]&lt;300,"Medium","High")))</f>
        <v>Medium</v>
      </c>
      <c r="M909" t="str">
        <f t="shared" si="29"/>
        <v>Normal</v>
      </c>
      <c r="N909">
        <f>(Table1[[#This Row],[price]]*0.7)</f>
        <v>134.28100000000001</v>
      </c>
    </row>
    <row r="910" spans="1:14" x14ac:dyDescent="0.35">
      <c r="A910" t="str">
        <f t="shared" si="28"/>
        <v>P909</v>
      </c>
      <c r="B910" t="s">
        <v>13</v>
      </c>
      <c r="C910" t="s">
        <v>9</v>
      </c>
      <c r="D910">
        <v>895.49</v>
      </c>
      <c r="E910">
        <v>21</v>
      </c>
      <c r="F910">
        <v>3.9</v>
      </c>
      <c r="G910" t="b">
        <v>1</v>
      </c>
      <c r="H910">
        <f>(Table1[[#This Row],[price]]*Table1[[#This Row],[units_sold]])</f>
        <v>18805.29</v>
      </c>
      <c r="I910" t="str">
        <f>IF(Table1[[#This Row],[in_stock]]=TRUE,"Available","Out of stock")</f>
        <v>Available</v>
      </c>
      <c r="J910" t="str">
        <f>IF(Table1[[#This Row],[rating]]&gt;=4,"High",IF(Table1[[#This Row],[rating]]&gt;=2.5,"Medium","Low"))</f>
        <v>Medium</v>
      </c>
      <c r="K910" t="str">
        <f>IF(Table1[[#This Row],[price]]&lt;200,"Budget",IF(Table1[[#This Row],[price]]&lt;600,"Mid-Range",IF(Table1[[#This Row],[price]]&lt;1000,"Premium","Luxury")))</f>
        <v>Premium</v>
      </c>
      <c r="L910" t="str">
        <f>IF(Table1[[#This Row],[units_sold]]&lt;50,"Very Low",IF(Table1[[#This Row],[units_sold]]&lt;150,"Low",IF(Table1[[#This Row],[units_sold]]&lt;300,"Medium","High")))</f>
        <v>Very Low</v>
      </c>
      <c r="M910" t="str">
        <f t="shared" si="29"/>
        <v>Normal</v>
      </c>
      <c r="N910">
        <f>(Table1[[#This Row],[price]]*0.7)</f>
        <v>626.84299999999996</v>
      </c>
    </row>
    <row r="911" spans="1:14" x14ac:dyDescent="0.35">
      <c r="A911" t="str">
        <f t="shared" si="28"/>
        <v>P910</v>
      </c>
      <c r="B911" t="s">
        <v>13</v>
      </c>
      <c r="C911" t="s">
        <v>9</v>
      </c>
      <c r="D911">
        <v>1405.31</v>
      </c>
      <c r="E911">
        <v>307</v>
      </c>
      <c r="F911">
        <v>3.1</v>
      </c>
      <c r="G911" t="b">
        <v>1</v>
      </c>
      <c r="H911">
        <f>(Table1[[#This Row],[price]]*Table1[[#This Row],[units_sold]])</f>
        <v>431430.17</v>
      </c>
      <c r="I911" t="str">
        <f>IF(Table1[[#This Row],[in_stock]]=TRUE,"Available","Out of stock")</f>
        <v>Available</v>
      </c>
      <c r="J911" t="str">
        <f>IF(Table1[[#This Row],[rating]]&gt;=4,"High",IF(Table1[[#This Row],[rating]]&gt;=2.5,"Medium","Low"))</f>
        <v>Medium</v>
      </c>
      <c r="K911" t="str">
        <f>IF(Table1[[#This Row],[price]]&lt;200,"Budget",IF(Table1[[#This Row],[price]]&lt;600,"Mid-Range",IF(Table1[[#This Row],[price]]&lt;1000,"Premium","Luxury")))</f>
        <v>Luxury</v>
      </c>
      <c r="L911" t="str">
        <f>IF(Table1[[#This Row],[units_sold]]&lt;50,"Very Low",IF(Table1[[#This Row],[units_sold]]&lt;150,"Low",IF(Table1[[#This Row],[units_sold]]&lt;300,"Medium","High")))</f>
        <v>High</v>
      </c>
      <c r="M911" t="str">
        <f t="shared" si="29"/>
        <v>Normal</v>
      </c>
      <c r="N911">
        <f>(Table1[[#This Row],[price]]*0.7)</f>
        <v>983.71699999999987</v>
      </c>
    </row>
    <row r="912" spans="1:14" x14ac:dyDescent="0.35">
      <c r="A912" t="str">
        <f t="shared" si="28"/>
        <v>P911</v>
      </c>
      <c r="B912" t="s">
        <v>16</v>
      </c>
      <c r="C912" t="s">
        <v>9</v>
      </c>
      <c r="D912">
        <v>1315.4</v>
      </c>
      <c r="E912">
        <v>38</v>
      </c>
      <c r="F912">
        <v>1.6</v>
      </c>
      <c r="G912" t="b">
        <v>1</v>
      </c>
      <c r="H912">
        <f>(Table1[[#This Row],[price]]*Table1[[#This Row],[units_sold]])</f>
        <v>49985.200000000004</v>
      </c>
      <c r="I912" t="str">
        <f>IF(Table1[[#This Row],[in_stock]]=TRUE,"Available","Out of stock")</f>
        <v>Available</v>
      </c>
      <c r="J912" t="str">
        <f>IF(Table1[[#This Row],[rating]]&gt;=4,"High",IF(Table1[[#This Row],[rating]]&gt;=2.5,"Medium","Low"))</f>
        <v>Low</v>
      </c>
      <c r="K912" t="str">
        <f>IF(Table1[[#This Row],[price]]&lt;200,"Budget",IF(Table1[[#This Row],[price]]&lt;600,"Mid-Range",IF(Table1[[#This Row],[price]]&lt;1000,"Premium","Luxury")))</f>
        <v>Luxury</v>
      </c>
      <c r="L912" t="str">
        <f>IF(Table1[[#This Row],[units_sold]]&lt;50,"Very Low",IF(Table1[[#This Row],[units_sold]]&lt;150,"Low",IF(Table1[[#This Row],[units_sold]]&lt;300,"Medium","High")))</f>
        <v>Very Low</v>
      </c>
      <c r="M912" t="str">
        <f t="shared" si="29"/>
        <v>Normal</v>
      </c>
      <c r="N912">
        <f>(Table1[[#This Row],[price]]*0.7)</f>
        <v>920.78</v>
      </c>
    </row>
    <row r="913" spans="1:14" x14ac:dyDescent="0.35">
      <c r="A913" t="str">
        <f t="shared" si="28"/>
        <v>P912</v>
      </c>
      <c r="B913" t="s">
        <v>6</v>
      </c>
      <c r="C913" t="s">
        <v>7</v>
      </c>
      <c r="D913">
        <v>423.85</v>
      </c>
      <c r="E913">
        <v>276</v>
      </c>
      <c r="F913">
        <v>1.3</v>
      </c>
      <c r="G913" t="b">
        <v>0</v>
      </c>
      <c r="H913">
        <f>(Table1[[#This Row],[price]]*Table1[[#This Row],[units_sold]])</f>
        <v>116982.6</v>
      </c>
      <c r="I913" t="str">
        <f>IF(Table1[[#This Row],[in_stock]]=TRUE,"Available","Out of stock")</f>
        <v>Out of stock</v>
      </c>
      <c r="J913" t="str">
        <f>IF(Table1[[#This Row],[rating]]&gt;=4,"High",IF(Table1[[#This Row],[rating]]&gt;=2.5,"Medium","Low"))</f>
        <v>Low</v>
      </c>
      <c r="K913" t="str">
        <f>IF(Table1[[#This Row],[price]]&lt;200,"Budget",IF(Table1[[#This Row],[price]]&lt;600,"Mid-Range",IF(Table1[[#This Row],[price]]&lt;1000,"Premium","Luxury")))</f>
        <v>Mid-Range</v>
      </c>
      <c r="L913" t="str">
        <f>IF(Table1[[#This Row],[units_sold]]&lt;50,"Very Low",IF(Table1[[#This Row],[units_sold]]&lt;150,"Low",IF(Table1[[#This Row],[units_sold]]&lt;300,"Medium","High")))</f>
        <v>Medium</v>
      </c>
      <c r="M913" t="str">
        <f t="shared" si="29"/>
        <v>Normal</v>
      </c>
      <c r="N913">
        <f>(Table1[[#This Row],[price]]*0.7)</f>
        <v>296.69499999999999</v>
      </c>
    </row>
    <row r="914" spans="1:14" x14ac:dyDescent="0.35">
      <c r="A914" t="str">
        <f t="shared" si="28"/>
        <v>P913</v>
      </c>
      <c r="B914" t="s">
        <v>15</v>
      </c>
      <c r="C914" t="s">
        <v>7</v>
      </c>
      <c r="D914">
        <v>1278.6600000000001</v>
      </c>
      <c r="E914">
        <v>157</v>
      </c>
      <c r="F914">
        <v>1.1000000000000001</v>
      </c>
      <c r="G914" t="b">
        <v>0</v>
      </c>
      <c r="H914">
        <f>(Table1[[#This Row],[price]]*Table1[[#This Row],[units_sold]])</f>
        <v>200749.62000000002</v>
      </c>
      <c r="I914" t="str">
        <f>IF(Table1[[#This Row],[in_stock]]=TRUE,"Available","Out of stock")</f>
        <v>Out of stock</v>
      </c>
      <c r="J914" t="str">
        <f>IF(Table1[[#This Row],[rating]]&gt;=4,"High",IF(Table1[[#This Row],[rating]]&gt;=2.5,"Medium","Low"))</f>
        <v>Low</v>
      </c>
      <c r="K914" t="str">
        <f>IF(Table1[[#This Row],[price]]&lt;200,"Budget",IF(Table1[[#This Row],[price]]&lt;600,"Mid-Range",IF(Table1[[#This Row],[price]]&lt;1000,"Premium","Luxury")))</f>
        <v>Luxury</v>
      </c>
      <c r="L914" t="str">
        <f>IF(Table1[[#This Row],[units_sold]]&lt;50,"Very Low",IF(Table1[[#This Row],[units_sold]]&lt;150,"Low",IF(Table1[[#This Row],[units_sold]]&lt;300,"Medium","High")))</f>
        <v>Medium</v>
      </c>
      <c r="M914" t="str">
        <f t="shared" si="29"/>
        <v>Normal</v>
      </c>
      <c r="N914">
        <f>(Table1[[#This Row],[price]]*0.7)</f>
        <v>895.06200000000001</v>
      </c>
    </row>
    <row r="915" spans="1:14" x14ac:dyDescent="0.35">
      <c r="A915" t="str">
        <f t="shared" si="28"/>
        <v>P914</v>
      </c>
      <c r="B915" t="s">
        <v>6</v>
      </c>
      <c r="C915" t="s">
        <v>7</v>
      </c>
      <c r="D915">
        <v>10.5</v>
      </c>
      <c r="E915">
        <v>179</v>
      </c>
      <c r="F915">
        <v>1.7</v>
      </c>
      <c r="G915" t="b">
        <v>1</v>
      </c>
      <c r="H915">
        <f>(Table1[[#This Row],[price]]*Table1[[#This Row],[units_sold]])</f>
        <v>1879.5</v>
      </c>
      <c r="I915" t="str">
        <f>IF(Table1[[#This Row],[in_stock]]=TRUE,"Available","Out of stock")</f>
        <v>Available</v>
      </c>
      <c r="J915" t="str">
        <f>IF(Table1[[#This Row],[rating]]&gt;=4,"High",IF(Table1[[#This Row],[rating]]&gt;=2.5,"Medium","Low"))</f>
        <v>Low</v>
      </c>
      <c r="K915" t="str">
        <f>IF(Table1[[#This Row],[price]]&lt;200,"Budget",IF(Table1[[#This Row],[price]]&lt;600,"Mid-Range",IF(Table1[[#This Row],[price]]&lt;1000,"Premium","Luxury")))</f>
        <v>Budget</v>
      </c>
      <c r="L915" t="str">
        <f>IF(Table1[[#This Row],[units_sold]]&lt;50,"Very Low",IF(Table1[[#This Row],[units_sold]]&lt;150,"Low",IF(Table1[[#This Row],[units_sold]]&lt;300,"Medium","High")))</f>
        <v>Medium</v>
      </c>
      <c r="M915" t="str">
        <f t="shared" si="29"/>
        <v>Normal</v>
      </c>
      <c r="N915">
        <f>(Table1[[#This Row],[price]]*0.7)</f>
        <v>7.35</v>
      </c>
    </row>
    <row r="916" spans="1:14" x14ac:dyDescent="0.35">
      <c r="A916" t="str">
        <f t="shared" si="28"/>
        <v>P915</v>
      </c>
      <c r="B916" t="s">
        <v>8</v>
      </c>
      <c r="C916" t="s">
        <v>9</v>
      </c>
      <c r="D916">
        <v>36.35</v>
      </c>
      <c r="E916">
        <v>132</v>
      </c>
      <c r="F916">
        <v>4.5999999999999996</v>
      </c>
      <c r="G916" t="b">
        <v>1</v>
      </c>
      <c r="H916">
        <f>(Table1[[#This Row],[price]]*Table1[[#This Row],[units_sold]])</f>
        <v>4798.2</v>
      </c>
      <c r="I916" t="str">
        <f>IF(Table1[[#This Row],[in_stock]]=TRUE,"Available","Out of stock")</f>
        <v>Available</v>
      </c>
      <c r="J916" t="str">
        <f>IF(Table1[[#This Row],[rating]]&gt;=4,"High",IF(Table1[[#This Row],[rating]]&gt;=2.5,"Medium","Low"))</f>
        <v>High</v>
      </c>
      <c r="K916" t="str">
        <f>IF(Table1[[#This Row],[price]]&lt;200,"Budget",IF(Table1[[#This Row],[price]]&lt;600,"Mid-Range",IF(Table1[[#This Row],[price]]&lt;1000,"Premium","Luxury")))</f>
        <v>Budget</v>
      </c>
      <c r="L916" t="str">
        <f>IF(Table1[[#This Row],[units_sold]]&lt;50,"Very Low",IF(Table1[[#This Row],[units_sold]]&lt;150,"Low",IF(Table1[[#This Row],[units_sold]]&lt;300,"Medium","High")))</f>
        <v>Low</v>
      </c>
      <c r="M916" t="str">
        <f t="shared" si="29"/>
        <v>Normal</v>
      </c>
      <c r="N916">
        <f>(Table1[[#This Row],[price]]*0.7)</f>
        <v>25.445</v>
      </c>
    </row>
    <row r="917" spans="1:14" x14ac:dyDescent="0.35">
      <c r="A917" t="str">
        <f t="shared" si="28"/>
        <v>P916</v>
      </c>
      <c r="B917" t="s">
        <v>12</v>
      </c>
      <c r="C917" t="s">
        <v>7</v>
      </c>
      <c r="D917">
        <v>907.8</v>
      </c>
      <c r="E917">
        <v>311</v>
      </c>
      <c r="F917">
        <v>2</v>
      </c>
      <c r="G917" t="b">
        <v>1</v>
      </c>
      <c r="H917">
        <f>(Table1[[#This Row],[price]]*Table1[[#This Row],[units_sold]])</f>
        <v>282325.8</v>
      </c>
      <c r="I917" t="str">
        <f>IF(Table1[[#This Row],[in_stock]]=TRUE,"Available","Out of stock")</f>
        <v>Available</v>
      </c>
      <c r="J917" t="str">
        <f>IF(Table1[[#This Row],[rating]]&gt;=4,"High",IF(Table1[[#This Row],[rating]]&gt;=2.5,"Medium","Low"))</f>
        <v>Low</v>
      </c>
      <c r="K917" t="str">
        <f>IF(Table1[[#This Row],[price]]&lt;200,"Budget",IF(Table1[[#This Row],[price]]&lt;600,"Mid-Range",IF(Table1[[#This Row],[price]]&lt;1000,"Premium","Luxury")))</f>
        <v>Premium</v>
      </c>
      <c r="L917" t="str">
        <f>IF(Table1[[#This Row],[units_sold]]&lt;50,"Very Low",IF(Table1[[#This Row],[units_sold]]&lt;150,"Low",IF(Table1[[#This Row],[units_sold]]&lt;300,"Medium","High")))</f>
        <v>High</v>
      </c>
      <c r="M917" t="str">
        <f t="shared" si="29"/>
        <v>Normal</v>
      </c>
      <c r="N917">
        <f>(Table1[[#This Row],[price]]*0.7)</f>
        <v>635.45999999999992</v>
      </c>
    </row>
    <row r="918" spans="1:14" x14ac:dyDescent="0.35">
      <c r="A918" t="str">
        <f t="shared" si="28"/>
        <v>P917</v>
      </c>
      <c r="B918" t="s">
        <v>13</v>
      </c>
      <c r="C918" t="s">
        <v>9</v>
      </c>
      <c r="D918">
        <v>553.54999999999995</v>
      </c>
      <c r="E918">
        <v>455</v>
      </c>
      <c r="F918">
        <v>2.4</v>
      </c>
      <c r="G918" t="b">
        <v>1</v>
      </c>
      <c r="H918">
        <f>(Table1[[#This Row],[price]]*Table1[[#This Row],[units_sold]])</f>
        <v>251865.24999999997</v>
      </c>
      <c r="I918" t="str">
        <f>IF(Table1[[#This Row],[in_stock]]=TRUE,"Available","Out of stock")</f>
        <v>Available</v>
      </c>
      <c r="J918" t="str">
        <f>IF(Table1[[#This Row],[rating]]&gt;=4,"High",IF(Table1[[#This Row],[rating]]&gt;=2.5,"Medium","Low"))</f>
        <v>Low</v>
      </c>
      <c r="K918" t="str">
        <f>IF(Table1[[#This Row],[price]]&lt;200,"Budget",IF(Table1[[#This Row],[price]]&lt;600,"Mid-Range",IF(Table1[[#This Row],[price]]&lt;1000,"Premium","Luxury")))</f>
        <v>Mid-Range</v>
      </c>
      <c r="L918" t="str">
        <f>IF(Table1[[#This Row],[units_sold]]&lt;50,"Very Low",IF(Table1[[#This Row],[units_sold]]&lt;150,"Low",IF(Table1[[#This Row],[units_sold]]&lt;300,"Medium","High")))</f>
        <v>High</v>
      </c>
      <c r="M918" t="str">
        <f t="shared" si="29"/>
        <v>Normal</v>
      </c>
      <c r="N918">
        <f>(Table1[[#This Row],[price]]*0.7)</f>
        <v>387.48499999999996</v>
      </c>
    </row>
    <row r="919" spans="1:14" x14ac:dyDescent="0.35">
      <c r="A919" t="str">
        <f t="shared" si="28"/>
        <v>P918</v>
      </c>
      <c r="B919" t="s">
        <v>12</v>
      </c>
      <c r="C919" t="s">
        <v>7</v>
      </c>
      <c r="D919">
        <v>585.83000000000004</v>
      </c>
      <c r="E919">
        <v>348</v>
      </c>
      <c r="F919">
        <v>1.4</v>
      </c>
      <c r="G919" t="b">
        <v>1</v>
      </c>
      <c r="H919">
        <f>(Table1[[#This Row],[price]]*Table1[[#This Row],[units_sold]])</f>
        <v>203868.84000000003</v>
      </c>
      <c r="I919" t="str">
        <f>IF(Table1[[#This Row],[in_stock]]=TRUE,"Available","Out of stock")</f>
        <v>Available</v>
      </c>
      <c r="J919" t="str">
        <f>IF(Table1[[#This Row],[rating]]&gt;=4,"High",IF(Table1[[#This Row],[rating]]&gt;=2.5,"Medium","Low"))</f>
        <v>Low</v>
      </c>
      <c r="K919" t="str">
        <f>IF(Table1[[#This Row],[price]]&lt;200,"Budget",IF(Table1[[#This Row],[price]]&lt;600,"Mid-Range",IF(Table1[[#This Row],[price]]&lt;1000,"Premium","Luxury")))</f>
        <v>Mid-Range</v>
      </c>
      <c r="L919" t="str">
        <f>IF(Table1[[#This Row],[units_sold]]&lt;50,"Very Low",IF(Table1[[#This Row],[units_sold]]&lt;150,"Low",IF(Table1[[#This Row],[units_sold]]&lt;300,"Medium","High")))</f>
        <v>High</v>
      </c>
      <c r="M919" t="str">
        <f t="shared" si="29"/>
        <v>Normal</v>
      </c>
      <c r="N919">
        <f>(Table1[[#This Row],[price]]*0.7)</f>
        <v>410.08100000000002</v>
      </c>
    </row>
    <row r="920" spans="1:14" x14ac:dyDescent="0.35">
      <c r="A920" t="str">
        <f t="shared" si="28"/>
        <v>P919</v>
      </c>
      <c r="B920" t="s">
        <v>12</v>
      </c>
      <c r="C920" t="s">
        <v>7</v>
      </c>
      <c r="D920">
        <v>851.02</v>
      </c>
      <c r="E920">
        <v>28</v>
      </c>
      <c r="F920">
        <v>1.9</v>
      </c>
      <c r="G920" t="b">
        <v>1</v>
      </c>
      <c r="H920">
        <f>(Table1[[#This Row],[price]]*Table1[[#This Row],[units_sold]])</f>
        <v>23828.559999999998</v>
      </c>
      <c r="I920" t="str">
        <f>IF(Table1[[#This Row],[in_stock]]=TRUE,"Available","Out of stock")</f>
        <v>Available</v>
      </c>
      <c r="J920" t="str">
        <f>IF(Table1[[#This Row],[rating]]&gt;=4,"High",IF(Table1[[#This Row],[rating]]&gt;=2.5,"Medium","Low"))</f>
        <v>Low</v>
      </c>
      <c r="K920" t="str">
        <f>IF(Table1[[#This Row],[price]]&lt;200,"Budget",IF(Table1[[#This Row],[price]]&lt;600,"Mid-Range",IF(Table1[[#This Row],[price]]&lt;1000,"Premium","Luxury")))</f>
        <v>Premium</v>
      </c>
      <c r="L920" t="str">
        <f>IF(Table1[[#This Row],[units_sold]]&lt;50,"Very Low",IF(Table1[[#This Row],[units_sold]]&lt;150,"Low",IF(Table1[[#This Row],[units_sold]]&lt;300,"Medium","High")))</f>
        <v>Very Low</v>
      </c>
      <c r="M920" t="str">
        <f t="shared" si="29"/>
        <v>Normal</v>
      </c>
      <c r="N920">
        <f>(Table1[[#This Row],[price]]*0.7)</f>
        <v>595.71399999999994</v>
      </c>
    </row>
    <row r="921" spans="1:14" x14ac:dyDescent="0.35">
      <c r="A921" t="str">
        <f t="shared" si="28"/>
        <v>P920</v>
      </c>
      <c r="B921" t="s">
        <v>12</v>
      </c>
      <c r="C921" t="s">
        <v>7</v>
      </c>
      <c r="D921">
        <v>295.76</v>
      </c>
      <c r="E921">
        <v>260</v>
      </c>
      <c r="F921">
        <v>3.1</v>
      </c>
      <c r="G921" t="b">
        <v>1</v>
      </c>
      <c r="H921">
        <f>(Table1[[#This Row],[price]]*Table1[[#This Row],[units_sold]])</f>
        <v>76897.599999999991</v>
      </c>
      <c r="I921" t="str">
        <f>IF(Table1[[#This Row],[in_stock]]=TRUE,"Available","Out of stock")</f>
        <v>Available</v>
      </c>
      <c r="J921" t="str">
        <f>IF(Table1[[#This Row],[rating]]&gt;=4,"High",IF(Table1[[#This Row],[rating]]&gt;=2.5,"Medium","Low"))</f>
        <v>Medium</v>
      </c>
      <c r="K921" t="str">
        <f>IF(Table1[[#This Row],[price]]&lt;200,"Budget",IF(Table1[[#This Row],[price]]&lt;600,"Mid-Range",IF(Table1[[#This Row],[price]]&lt;1000,"Premium","Luxury")))</f>
        <v>Mid-Range</v>
      </c>
      <c r="L921" t="str">
        <f>IF(Table1[[#This Row],[units_sold]]&lt;50,"Very Low",IF(Table1[[#This Row],[units_sold]]&lt;150,"Low",IF(Table1[[#This Row],[units_sold]]&lt;300,"Medium","High")))</f>
        <v>Medium</v>
      </c>
      <c r="M921" t="str">
        <f t="shared" si="29"/>
        <v>Normal</v>
      </c>
      <c r="N921">
        <f>(Table1[[#This Row],[price]]*0.7)</f>
        <v>207.03199999999998</v>
      </c>
    </row>
    <row r="922" spans="1:14" x14ac:dyDescent="0.35">
      <c r="A922" t="str">
        <f t="shared" si="28"/>
        <v>P921</v>
      </c>
      <c r="B922" t="s">
        <v>13</v>
      </c>
      <c r="C922" t="s">
        <v>9</v>
      </c>
      <c r="D922">
        <v>325.52</v>
      </c>
      <c r="E922">
        <v>406</v>
      </c>
      <c r="F922">
        <v>3.4</v>
      </c>
      <c r="G922" t="b">
        <v>1</v>
      </c>
      <c r="H922">
        <f>(Table1[[#This Row],[price]]*Table1[[#This Row],[units_sold]])</f>
        <v>132161.12</v>
      </c>
      <c r="I922" t="str">
        <f>IF(Table1[[#This Row],[in_stock]]=TRUE,"Available","Out of stock")</f>
        <v>Available</v>
      </c>
      <c r="J922" t="str">
        <f>IF(Table1[[#This Row],[rating]]&gt;=4,"High",IF(Table1[[#This Row],[rating]]&gt;=2.5,"Medium","Low"))</f>
        <v>Medium</v>
      </c>
      <c r="K922" t="str">
        <f>IF(Table1[[#This Row],[price]]&lt;200,"Budget",IF(Table1[[#This Row],[price]]&lt;600,"Mid-Range",IF(Table1[[#This Row],[price]]&lt;1000,"Premium","Luxury")))</f>
        <v>Mid-Range</v>
      </c>
      <c r="L922" t="str">
        <f>IF(Table1[[#This Row],[units_sold]]&lt;50,"Very Low",IF(Table1[[#This Row],[units_sold]]&lt;150,"Low",IF(Table1[[#This Row],[units_sold]]&lt;300,"Medium","High")))</f>
        <v>High</v>
      </c>
      <c r="M922" t="str">
        <f t="shared" si="29"/>
        <v>Normal</v>
      </c>
      <c r="N922">
        <f>(Table1[[#This Row],[price]]*0.7)</f>
        <v>227.86399999999998</v>
      </c>
    </row>
    <row r="923" spans="1:14" x14ac:dyDescent="0.35">
      <c r="A923" t="str">
        <f t="shared" si="28"/>
        <v>P922</v>
      </c>
      <c r="B923" t="s">
        <v>10</v>
      </c>
      <c r="C923" t="s">
        <v>9</v>
      </c>
      <c r="D923">
        <v>732.06</v>
      </c>
      <c r="E923">
        <v>76</v>
      </c>
      <c r="F923">
        <v>2</v>
      </c>
      <c r="G923" t="b">
        <v>1</v>
      </c>
      <c r="H923">
        <f>(Table1[[#This Row],[price]]*Table1[[#This Row],[units_sold]])</f>
        <v>55636.56</v>
      </c>
      <c r="I923" t="str">
        <f>IF(Table1[[#This Row],[in_stock]]=TRUE,"Available","Out of stock")</f>
        <v>Available</v>
      </c>
      <c r="J923" t="str">
        <f>IF(Table1[[#This Row],[rating]]&gt;=4,"High",IF(Table1[[#This Row],[rating]]&gt;=2.5,"Medium","Low"))</f>
        <v>Low</v>
      </c>
      <c r="K923" t="str">
        <f>IF(Table1[[#This Row],[price]]&lt;200,"Budget",IF(Table1[[#This Row],[price]]&lt;600,"Mid-Range",IF(Table1[[#This Row],[price]]&lt;1000,"Premium","Luxury")))</f>
        <v>Premium</v>
      </c>
      <c r="L923" t="str">
        <f>IF(Table1[[#This Row],[units_sold]]&lt;50,"Very Low",IF(Table1[[#This Row],[units_sold]]&lt;150,"Low",IF(Table1[[#This Row],[units_sold]]&lt;300,"Medium","High")))</f>
        <v>Low</v>
      </c>
      <c r="M923" t="str">
        <f t="shared" si="29"/>
        <v>Normal</v>
      </c>
      <c r="N923">
        <f>(Table1[[#This Row],[price]]*0.7)</f>
        <v>512.44199999999989</v>
      </c>
    </row>
    <row r="924" spans="1:14" x14ac:dyDescent="0.35">
      <c r="A924" t="str">
        <f t="shared" si="28"/>
        <v>P923</v>
      </c>
      <c r="B924" t="s">
        <v>17</v>
      </c>
      <c r="C924" t="s">
        <v>7</v>
      </c>
      <c r="D924">
        <v>1133.8399999999999</v>
      </c>
      <c r="E924">
        <v>429</v>
      </c>
      <c r="F924">
        <v>1.2</v>
      </c>
      <c r="G924" t="b">
        <v>0</v>
      </c>
      <c r="H924">
        <f>(Table1[[#This Row],[price]]*Table1[[#This Row],[units_sold]])</f>
        <v>486417.36</v>
      </c>
      <c r="I924" t="str">
        <f>IF(Table1[[#This Row],[in_stock]]=TRUE,"Available","Out of stock")</f>
        <v>Out of stock</v>
      </c>
      <c r="J924" t="str">
        <f>IF(Table1[[#This Row],[rating]]&gt;=4,"High",IF(Table1[[#This Row],[rating]]&gt;=2.5,"Medium","Low"))</f>
        <v>Low</v>
      </c>
      <c r="K924" t="str">
        <f>IF(Table1[[#This Row],[price]]&lt;200,"Budget",IF(Table1[[#This Row],[price]]&lt;600,"Mid-Range",IF(Table1[[#This Row],[price]]&lt;1000,"Premium","Luxury")))</f>
        <v>Luxury</v>
      </c>
      <c r="L924" t="str">
        <f>IF(Table1[[#This Row],[units_sold]]&lt;50,"Very Low",IF(Table1[[#This Row],[units_sold]]&lt;150,"Low",IF(Table1[[#This Row],[units_sold]]&lt;300,"Medium","High")))</f>
        <v>High</v>
      </c>
      <c r="M924" t="str">
        <f t="shared" si="29"/>
        <v>High Demand - Out of Stock</v>
      </c>
      <c r="N924">
        <f>(Table1[[#This Row],[price]]*0.7)</f>
        <v>793.68799999999987</v>
      </c>
    </row>
    <row r="925" spans="1:14" x14ac:dyDescent="0.35">
      <c r="A925" t="str">
        <f t="shared" si="28"/>
        <v>P924</v>
      </c>
      <c r="B925" t="s">
        <v>8</v>
      </c>
      <c r="C925" t="s">
        <v>9</v>
      </c>
      <c r="D925">
        <v>933.05</v>
      </c>
      <c r="E925">
        <v>67</v>
      </c>
      <c r="F925">
        <v>2.6</v>
      </c>
      <c r="G925" t="b">
        <v>1</v>
      </c>
      <c r="H925">
        <f>(Table1[[#This Row],[price]]*Table1[[#This Row],[units_sold]])</f>
        <v>62514.35</v>
      </c>
      <c r="I925" t="str">
        <f>IF(Table1[[#This Row],[in_stock]]=TRUE,"Available","Out of stock")</f>
        <v>Available</v>
      </c>
      <c r="J925" t="str">
        <f>IF(Table1[[#This Row],[rating]]&gt;=4,"High",IF(Table1[[#This Row],[rating]]&gt;=2.5,"Medium","Low"))</f>
        <v>Medium</v>
      </c>
      <c r="K925" t="str">
        <f>IF(Table1[[#This Row],[price]]&lt;200,"Budget",IF(Table1[[#This Row],[price]]&lt;600,"Mid-Range",IF(Table1[[#This Row],[price]]&lt;1000,"Premium","Luxury")))</f>
        <v>Premium</v>
      </c>
      <c r="L925" t="str">
        <f>IF(Table1[[#This Row],[units_sold]]&lt;50,"Very Low",IF(Table1[[#This Row],[units_sold]]&lt;150,"Low",IF(Table1[[#This Row],[units_sold]]&lt;300,"Medium","High")))</f>
        <v>Low</v>
      </c>
      <c r="M925" t="str">
        <f t="shared" si="29"/>
        <v>Normal</v>
      </c>
      <c r="N925">
        <f>(Table1[[#This Row],[price]]*0.7)</f>
        <v>653.13499999999988</v>
      </c>
    </row>
    <row r="926" spans="1:14" x14ac:dyDescent="0.35">
      <c r="A926" t="str">
        <f t="shared" si="28"/>
        <v>P925</v>
      </c>
      <c r="B926" t="s">
        <v>10</v>
      </c>
      <c r="C926" t="s">
        <v>9</v>
      </c>
      <c r="D926">
        <v>453.06</v>
      </c>
      <c r="E926">
        <v>342</v>
      </c>
      <c r="F926">
        <v>1.9</v>
      </c>
      <c r="G926" t="b">
        <v>1</v>
      </c>
      <c r="H926">
        <f>(Table1[[#This Row],[price]]*Table1[[#This Row],[units_sold]])</f>
        <v>154946.51999999999</v>
      </c>
      <c r="I926" t="str">
        <f>IF(Table1[[#This Row],[in_stock]]=TRUE,"Available","Out of stock")</f>
        <v>Available</v>
      </c>
      <c r="J926" t="str">
        <f>IF(Table1[[#This Row],[rating]]&gt;=4,"High",IF(Table1[[#This Row],[rating]]&gt;=2.5,"Medium","Low"))</f>
        <v>Low</v>
      </c>
      <c r="K926" t="str">
        <f>IF(Table1[[#This Row],[price]]&lt;200,"Budget",IF(Table1[[#This Row],[price]]&lt;600,"Mid-Range",IF(Table1[[#This Row],[price]]&lt;1000,"Premium","Luxury")))</f>
        <v>Mid-Range</v>
      </c>
      <c r="L926" t="str">
        <f>IF(Table1[[#This Row],[units_sold]]&lt;50,"Very Low",IF(Table1[[#This Row],[units_sold]]&lt;150,"Low",IF(Table1[[#This Row],[units_sold]]&lt;300,"Medium","High")))</f>
        <v>High</v>
      </c>
      <c r="M926" t="str">
        <f t="shared" si="29"/>
        <v>Normal</v>
      </c>
      <c r="N926">
        <f>(Table1[[#This Row],[price]]*0.7)</f>
        <v>317.142</v>
      </c>
    </row>
    <row r="927" spans="1:14" x14ac:dyDescent="0.35">
      <c r="A927" t="str">
        <f t="shared" si="28"/>
        <v>P926</v>
      </c>
      <c r="B927" t="s">
        <v>8</v>
      </c>
      <c r="C927" t="s">
        <v>9</v>
      </c>
      <c r="D927">
        <v>651.20000000000005</v>
      </c>
      <c r="E927">
        <v>492</v>
      </c>
      <c r="F927">
        <v>1.9</v>
      </c>
      <c r="G927" t="b">
        <v>1</v>
      </c>
      <c r="H927">
        <f>(Table1[[#This Row],[price]]*Table1[[#This Row],[units_sold]])</f>
        <v>320390.40000000002</v>
      </c>
      <c r="I927" t="str">
        <f>IF(Table1[[#This Row],[in_stock]]=TRUE,"Available","Out of stock")</f>
        <v>Available</v>
      </c>
      <c r="J927" t="str">
        <f>IF(Table1[[#This Row],[rating]]&gt;=4,"High",IF(Table1[[#This Row],[rating]]&gt;=2.5,"Medium","Low"))</f>
        <v>Low</v>
      </c>
      <c r="K927" t="str">
        <f>IF(Table1[[#This Row],[price]]&lt;200,"Budget",IF(Table1[[#This Row],[price]]&lt;600,"Mid-Range",IF(Table1[[#This Row],[price]]&lt;1000,"Premium","Luxury")))</f>
        <v>Premium</v>
      </c>
      <c r="L927" t="str">
        <f>IF(Table1[[#This Row],[units_sold]]&lt;50,"Very Low",IF(Table1[[#This Row],[units_sold]]&lt;150,"Low",IF(Table1[[#This Row],[units_sold]]&lt;300,"Medium","High")))</f>
        <v>High</v>
      </c>
      <c r="M927" t="str">
        <f t="shared" si="29"/>
        <v>Normal</v>
      </c>
      <c r="N927">
        <f>(Table1[[#This Row],[price]]*0.7)</f>
        <v>455.84</v>
      </c>
    </row>
    <row r="928" spans="1:14" x14ac:dyDescent="0.35">
      <c r="A928" t="str">
        <f t="shared" si="28"/>
        <v>P927</v>
      </c>
      <c r="B928" t="s">
        <v>11</v>
      </c>
      <c r="C928" t="s">
        <v>9</v>
      </c>
      <c r="D928">
        <v>264.29000000000002</v>
      </c>
      <c r="E928">
        <v>194</v>
      </c>
      <c r="F928">
        <v>4.8</v>
      </c>
      <c r="G928" t="b">
        <v>1</v>
      </c>
      <c r="H928">
        <f>(Table1[[#This Row],[price]]*Table1[[#This Row],[units_sold]])</f>
        <v>51272.26</v>
      </c>
      <c r="I928" t="str">
        <f>IF(Table1[[#This Row],[in_stock]]=TRUE,"Available","Out of stock")</f>
        <v>Available</v>
      </c>
      <c r="J928" t="str">
        <f>IF(Table1[[#This Row],[rating]]&gt;=4,"High",IF(Table1[[#This Row],[rating]]&gt;=2.5,"Medium","Low"))</f>
        <v>High</v>
      </c>
      <c r="K928" t="str">
        <f>IF(Table1[[#This Row],[price]]&lt;200,"Budget",IF(Table1[[#This Row],[price]]&lt;600,"Mid-Range",IF(Table1[[#This Row],[price]]&lt;1000,"Premium","Luxury")))</f>
        <v>Mid-Range</v>
      </c>
      <c r="L928" t="str">
        <f>IF(Table1[[#This Row],[units_sold]]&lt;50,"Very Low",IF(Table1[[#This Row],[units_sold]]&lt;150,"Low",IF(Table1[[#This Row],[units_sold]]&lt;300,"Medium","High")))</f>
        <v>Medium</v>
      </c>
      <c r="M928" t="str">
        <f t="shared" si="29"/>
        <v>Normal</v>
      </c>
      <c r="N928">
        <f>(Table1[[#This Row],[price]]*0.7)</f>
        <v>185.00300000000001</v>
      </c>
    </row>
    <row r="929" spans="1:14" x14ac:dyDescent="0.35">
      <c r="A929" t="str">
        <f t="shared" si="28"/>
        <v>P928</v>
      </c>
      <c r="B929" t="s">
        <v>6</v>
      </c>
      <c r="C929" t="s">
        <v>7</v>
      </c>
      <c r="D929">
        <v>121.2</v>
      </c>
      <c r="E929">
        <v>472</v>
      </c>
      <c r="F929">
        <v>3.5</v>
      </c>
      <c r="G929" t="b">
        <v>1</v>
      </c>
      <c r="H929">
        <f>(Table1[[#This Row],[price]]*Table1[[#This Row],[units_sold]])</f>
        <v>57206.400000000001</v>
      </c>
      <c r="I929" t="str">
        <f>IF(Table1[[#This Row],[in_stock]]=TRUE,"Available","Out of stock")</f>
        <v>Available</v>
      </c>
      <c r="J929" t="str">
        <f>IF(Table1[[#This Row],[rating]]&gt;=4,"High",IF(Table1[[#This Row],[rating]]&gt;=2.5,"Medium","Low"))</f>
        <v>Medium</v>
      </c>
      <c r="K929" t="str">
        <f>IF(Table1[[#This Row],[price]]&lt;200,"Budget",IF(Table1[[#This Row],[price]]&lt;600,"Mid-Range",IF(Table1[[#This Row],[price]]&lt;1000,"Premium","Luxury")))</f>
        <v>Budget</v>
      </c>
      <c r="L929" t="str">
        <f>IF(Table1[[#This Row],[units_sold]]&lt;50,"Very Low",IF(Table1[[#This Row],[units_sold]]&lt;150,"Low",IF(Table1[[#This Row],[units_sold]]&lt;300,"Medium","High")))</f>
        <v>High</v>
      </c>
      <c r="M929" t="str">
        <f t="shared" si="29"/>
        <v>Normal</v>
      </c>
      <c r="N929">
        <f>(Table1[[#This Row],[price]]*0.7)</f>
        <v>84.84</v>
      </c>
    </row>
    <row r="930" spans="1:14" x14ac:dyDescent="0.35">
      <c r="A930" t="str">
        <f t="shared" si="28"/>
        <v>P929</v>
      </c>
      <c r="B930" t="s">
        <v>6</v>
      </c>
      <c r="C930" t="s">
        <v>7</v>
      </c>
      <c r="D930">
        <v>1176.22</v>
      </c>
      <c r="E930">
        <v>162</v>
      </c>
      <c r="F930">
        <v>3.2</v>
      </c>
      <c r="G930" t="b">
        <v>1</v>
      </c>
      <c r="H930">
        <f>(Table1[[#This Row],[price]]*Table1[[#This Row],[units_sold]])</f>
        <v>190547.64</v>
      </c>
      <c r="I930" t="str">
        <f>IF(Table1[[#This Row],[in_stock]]=TRUE,"Available","Out of stock")</f>
        <v>Available</v>
      </c>
      <c r="J930" t="str">
        <f>IF(Table1[[#This Row],[rating]]&gt;=4,"High",IF(Table1[[#This Row],[rating]]&gt;=2.5,"Medium","Low"))</f>
        <v>Medium</v>
      </c>
      <c r="K930" t="str">
        <f>IF(Table1[[#This Row],[price]]&lt;200,"Budget",IF(Table1[[#This Row],[price]]&lt;600,"Mid-Range",IF(Table1[[#This Row],[price]]&lt;1000,"Premium","Luxury")))</f>
        <v>Luxury</v>
      </c>
      <c r="L930" t="str">
        <f>IF(Table1[[#This Row],[units_sold]]&lt;50,"Very Low",IF(Table1[[#This Row],[units_sold]]&lt;150,"Low",IF(Table1[[#This Row],[units_sold]]&lt;300,"Medium","High")))</f>
        <v>Medium</v>
      </c>
      <c r="M930" t="str">
        <f t="shared" si="29"/>
        <v>Normal</v>
      </c>
      <c r="N930">
        <f>(Table1[[#This Row],[price]]*0.7)</f>
        <v>823.35399999999993</v>
      </c>
    </row>
    <row r="931" spans="1:14" x14ac:dyDescent="0.35">
      <c r="A931" t="str">
        <f t="shared" si="28"/>
        <v>P930</v>
      </c>
      <c r="B931" t="s">
        <v>14</v>
      </c>
      <c r="C931" t="s">
        <v>9</v>
      </c>
      <c r="D931">
        <v>405.43</v>
      </c>
      <c r="E931">
        <v>347</v>
      </c>
      <c r="F931">
        <v>2.7</v>
      </c>
      <c r="G931" t="b">
        <v>1</v>
      </c>
      <c r="H931">
        <f>(Table1[[#This Row],[price]]*Table1[[#This Row],[units_sold]])</f>
        <v>140684.21</v>
      </c>
      <c r="I931" t="str">
        <f>IF(Table1[[#This Row],[in_stock]]=TRUE,"Available","Out of stock")</f>
        <v>Available</v>
      </c>
      <c r="J931" t="str">
        <f>IF(Table1[[#This Row],[rating]]&gt;=4,"High",IF(Table1[[#This Row],[rating]]&gt;=2.5,"Medium","Low"))</f>
        <v>Medium</v>
      </c>
      <c r="K931" t="str">
        <f>IF(Table1[[#This Row],[price]]&lt;200,"Budget",IF(Table1[[#This Row],[price]]&lt;600,"Mid-Range",IF(Table1[[#This Row],[price]]&lt;1000,"Premium","Luxury")))</f>
        <v>Mid-Range</v>
      </c>
      <c r="L931" t="str">
        <f>IF(Table1[[#This Row],[units_sold]]&lt;50,"Very Low",IF(Table1[[#This Row],[units_sold]]&lt;150,"Low",IF(Table1[[#This Row],[units_sold]]&lt;300,"Medium","High")))</f>
        <v>High</v>
      </c>
      <c r="M931" t="str">
        <f t="shared" si="29"/>
        <v>Normal</v>
      </c>
      <c r="N931">
        <f>(Table1[[#This Row],[price]]*0.7)</f>
        <v>283.80099999999999</v>
      </c>
    </row>
    <row r="932" spans="1:14" x14ac:dyDescent="0.35">
      <c r="A932" t="str">
        <f t="shared" si="28"/>
        <v>P931</v>
      </c>
      <c r="B932" t="s">
        <v>6</v>
      </c>
      <c r="C932" t="s">
        <v>7</v>
      </c>
      <c r="D932">
        <v>274.87</v>
      </c>
      <c r="E932">
        <v>439</v>
      </c>
      <c r="F932">
        <v>2.7</v>
      </c>
      <c r="G932" t="b">
        <v>1</v>
      </c>
      <c r="H932">
        <f>(Table1[[#This Row],[price]]*Table1[[#This Row],[units_sold]])</f>
        <v>120667.93000000001</v>
      </c>
      <c r="I932" t="str">
        <f>IF(Table1[[#This Row],[in_stock]]=TRUE,"Available","Out of stock")</f>
        <v>Available</v>
      </c>
      <c r="J932" t="str">
        <f>IF(Table1[[#This Row],[rating]]&gt;=4,"High",IF(Table1[[#This Row],[rating]]&gt;=2.5,"Medium","Low"))</f>
        <v>Medium</v>
      </c>
      <c r="K932" t="str">
        <f>IF(Table1[[#This Row],[price]]&lt;200,"Budget",IF(Table1[[#This Row],[price]]&lt;600,"Mid-Range",IF(Table1[[#This Row],[price]]&lt;1000,"Premium","Luxury")))</f>
        <v>Mid-Range</v>
      </c>
      <c r="L932" t="str">
        <f>IF(Table1[[#This Row],[units_sold]]&lt;50,"Very Low",IF(Table1[[#This Row],[units_sold]]&lt;150,"Low",IF(Table1[[#This Row],[units_sold]]&lt;300,"Medium","High")))</f>
        <v>High</v>
      </c>
      <c r="M932" t="str">
        <f t="shared" si="29"/>
        <v>Normal</v>
      </c>
      <c r="N932">
        <f>(Table1[[#This Row],[price]]*0.7)</f>
        <v>192.40899999999999</v>
      </c>
    </row>
    <row r="933" spans="1:14" x14ac:dyDescent="0.35">
      <c r="A933" t="str">
        <f t="shared" si="28"/>
        <v>P932</v>
      </c>
      <c r="B933" t="s">
        <v>13</v>
      </c>
      <c r="C933" t="s">
        <v>9</v>
      </c>
      <c r="D933">
        <v>1040.51</v>
      </c>
      <c r="E933">
        <v>361</v>
      </c>
      <c r="F933">
        <v>3.2</v>
      </c>
      <c r="G933" t="b">
        <v>1</v>
      </c>
      <c r="H933">
        <f>(Table1[[#This Row],[price]]*Table1[[#This Row],[units_sold]])</f>
        <v>375624.11</v>
      </c>
      <c r="I933" t="str">
        <f>IF(Table1[[#This Row],[in_stock]]=TRUE,"Available","Out of stock")</f>
        <v>Available</v>
      </c>
      <c r="J933" t="str">
        <f>IF(Table1[[#This Row],[rating]]&gt;=4,"High",IF(Table1[[#This Row],[rating]]&gt;=2.5,"Medium","Low"))</f>
        <v>Medium</v>
      </c>
      <c r="K933" t="str">
        <f>IF(Table1[[#This Row],[price]]&lt;200,"Budget",IF(Table1[[#This Row],[price]]&lt;600,"Mid-Range",IF(Table1[[#This Row],[price]]&lt;1000,"Premium","Luxury")))</f>
        <v>Luxury</v>
      </c>
      <c r="L933" t="str">
        <f>IF(Table1[[#This Row],[units_sold]]&lt;50,"Very Low",IF(Table1[[#This Row],[units_sold]]&lt;150,"Low",IF(Table1[[#This Row],[units_sold]]&lt;300,"Medium","High")))</f>
        <v>High</v>
      </c>
      <c r="M933" t="str">
        <f t="shared" si="29"/>
        <v>Normal</v>
      </c>
      <c r="N933">
        <f>(Table1[[#This Row],[price]]*0.7)</f>
        <v>728.35699999999997</v>
      </c>
    </row>
    <row r="934" spans="1:14" x14ac:dyDescent="0.35">
      <c r="A934" t="str">
        <f t="shared" si="28"/>
        <v>P933</v>
      </c>
      <c r="B934" t="s">
        <v>15</v>
      </c>
      <c r="C934" t="s">
        <v>7</v>
      </c>
      <c r="D934">
        <v>930.9</v>
      </c>
      <c r="E934">
        <v>257</v>
      </c>
      <c r="F934">
        <v>3.8</v>
      </c>
      <c r="G934" t="b">
        <v>1</v>
      </c>
      <c r="H934">
        <f>(Table1[[#This Row],[price]]*Table1[[#This Row],[units_sold]])</f>
        <v>239241.3</v>
      </c>
      <c r="I934" t="str">
        <f>IF(Table1[[#This Row],[in_stock]]=TRUE,"Available","Out of stock")</f>
        <v>Available</v>
      </c>
      <c r="J934" t="str">
        <f>IF(Table1[[#This Row],[rating]]&gt;=4,"High",IF(Table1[[#This Row],[rating]]&gt;=2.5,"Medium","Low"))</f>
        <v>Medium</v>
      </c>
      <c r="K934" t="str">
        <f>IF(Table1[[#This Row],[price]]&lt;200,"Budget",IF(Table1[[#This Row],[price]]&lt;600,"Mid-Range",IF(Table1[[#This Row],[price]]&lt;1000,"Premium","Luxury")))</f>
        <v>Premium</v>
      </c>
      <c r="L934" t="str">
        <f>IF(Table1[[#This Row],[units_sold]]&lt;50,"Very Low",IF(Table1[[#This Row],[units_sold]]&lt;150,"Low",IF(Table1[[#This Row],[units_sold]]&lt;300,"Medium","High")))</f>
        <v>Medium</v>
      </c>
      <c r="M934" t="str">
        <f t="shared" si="29"/>
        <v>Normal</v>
      </c>
      <c r="N934">
        <f>(Table1[[#This Row],[price]]*0.7)</f>
        <v>651.63</v>
      </c>
    </row>
    <row r="935" spans="1:14" x14ac:dyDescent="0.35">
      <c r="A935" t="str">
        <f t="shared" si="28"/>
        <v>P934</v>
      </c>
      <c r="B935" t="s">
        <v>16</v>
      </c>
      <c r="C935" t="s">
        <v>9</v>
      </c>
      <c r="D935">
        <v>953.45</v>
      </c>
      <c r="E935">
        <v>72</v>
      </c>
      <c r="F935">
        <v>3.8</v>
      </c>
      <c r="G935" t="b">
        <v>1</v>
      </c>
      <c r="H935">
        <f>(Table1[[#This Row],[price]]*Table1[[#This Row],[units_sold]])</f>
        <v>68648.400000000009</v>
      </c>
      <c r="I935" t="str">
        <f>IF(Table1[[#This Row],[in_stock]]=TRUE,"Available","Out of stock")</f>
        <v>Available</v>
      </c>
      <c r="J935" t="str">
        <f>IF(Table1[[#This Row],[rating]]&gt;=4,"High",IF(Table1[[#This Row],[rating]]&gt;=2.5,"Medium","Low"))</f>
        <v>Medium</v>
      </c>
      <c r="K935" t="str">
        <f>IF(Table1[[#This Row],[price]]&lt;200,"Budget",IF(Table1[[#This Row],[price]]&lt;600,"Mid-Range",IF(Table1[[#This Row],[price]]&lt;1000,"Premium","Luxury")))</f>
        <v>Premium</v>
      </c>
      <c r="L935" t="str">
        <f>IF(Table1[[#This Row],[units_sold]]&lt;50,"Very Low",IF(Table1[[#This Row],[units_sold]]&lt;150,"Low",IF(Table1[[#This Row],[units_sold]]&lt;300,"Medium","High")))</f>
        <v>Low</v>
      </c>
      <c r="M935" t="str">
        <f t="shared" si="29"/>
        <v>Normal</v>
      </c>
      <c r="N935">
        <f>(Table1[[#This Row],[price]]*0.7)</f>
        <v>667.41499999999996</v>
      </c>
    </row>
    <row r="936" spans="1:14" x14ac:dyDescent="0.35">
      <c r="A936" t="str">
        <f t="shared" si="28"/>
        <v>P935</v>
      </c>
      <c r="B936" t="s">
        <v>14</v>
      </c>
      <c r="C936" t="s">
        <v>9</v>
      </c>
      <c r="D936">
        <v>351.05</v>
      </c>
      <c r="E936">
        <v>87</v>
      </c>
      <c r="F936">
        <v>1.7</v>
      </c>
      <c r="G936" t="b">
        <v>0</v>
      </c>
      <c r="H936">
        <f>(Table1[[#This Row],[price]]*Table1[[#This Row],[units_sold]])</f>
        <v>30541.350000000002</v>
      </c>
      <c r="I936" t="str">
        <f>IF(Table1[[#This Row],[in_stock]]=TRUE,"Available","Out of stock")</f>
        <v>Out of stock</v>
      </c>
      <c r="J936" t="str">
        <f>IF(Table1[[#This Row],[rating]]&gt;=4,"High",IF(Table1[[#This Row],[rating]]&gt;=2.5,"Medium","Low"))</f>
        <v>Low</v>
      </c>
      <c r="K936" t="str">
        <f>IF(Table1[[#This Row],[price]]&lt;200,"Budget",IF(Table1[[#This Row],[price]]&lt;600,"Mid-Range",IF(Table1[[#This Row],[price]]&lt;1000,"Premium","Luxury")))</f>
        <v>Mid-Range</v>
      </c>
      <c r="L936" t="str">
        <f>IF(Table1[[#This Row],[units_sold]]&lt;50,"Very Low",IF(Table1[[#This Row],[units_sold]]&lt;150,"Low",IF(Table1[[#This Row],[units_sold]]&lt;300,"Medium","High")))</f>
        <v>Low</v>
      </c>
      <c r="M936" t="str">
        <f t="shared" si="29"/>
        <v>Normal</v>
      </c>
      <c r="N936">
        <f>(Table1[[#This Row],[price]]*0.7)</f>
        <v>245.73499999999999</v>
      </c>
    </row>
    <row r="937" spans="1:14" x14ac:dyDescent="0.35">
      <c r="A937" t="str">
        <f t="shared" si="28"/>
        <v>P936</v>
      </c>
      <c r="B937" t="s">
        <v>16</v>
      </c>
      <c r="C937" t="s">
        <v>9</v>
      </c>
      <c r="D937">
        <v>356.64</v>
      </c>
      <c r="E937">
        <v>422</v>
      </c>
      <c r="F937">
        <v>3</v>
      </c>
      <c r="G937" t="b">
        <v>1</v>
      </c>
      <c r="H937">
        <f>(Table1[[#This Row],[price]]*Table1[[#This Row],[units_sold]])</f>
        <v>150502.07999999999</v>
      </c>
      <c r="I937" t="str">
        <f>IF(Table1[[#This Row],[in_stock]]=TRUE,"Available","Out of stock")</f>
        <v>Available</v>
      </c>
      <c r="J937" t="str">
        <f>IF(Table1[[#This Row],[rating]]&gt;=4,"High",IF(Table1[[#This Row],[rating]]&gt;=2.5,"Medium","Low"))</f>
        <v>Medium</v>
      </c>
      <c r="K937" t="str">
        <f>IF(Table1[[#This Row],[price]]&lt;200,"Budget",IF(Table1[[#This Row],[price]]&lt;600,"Mid-Range",IF(Table1[[#This Row],[price]]&lt;1000,"Premium","Luxury")))</f>
        <v>Mid-Range</v>
      </c>
      <c r="L937" t="str">
        <f>IF(Table1[[#This Row],[units_sold]]&lt;50,"Very Low",IF(Table1[[#This Row],[units_sold]]&lt;150,"Low",IF(Table1[[#This Row],[units_sold]]&lt;300,"Medium","High")))</f>
        <v>High</v>
      </c>
      <c r="M937" t="str">
        <f t="shared" si="29"/>
        <v>Normal</v>
      </c>
      <c r="N937">
        <f>(Table1[[#This Row],[price]]*0.7)</f>
        <v>249.64799999999997</v>
      </c>
    </row>
    <row r="938" spans="1:14" x14ac:dyDescent="0.35">
      <c r="A938" t="str">
        <f t="shared" si="28"/>
        <v>P937</v>
      </c>
      <c r="B938" t="s">
        <v>8</v>
      </c>
      <c r="C938" t="s">
        <v>9</v>
      </c>
      <c r="D938">
        <v>339</v>
      </c>
      <c r="E938">
        <v>262</v>
      </c>
      <c r="F938">
        <v>2.6</v>
      </c>
      <c r="G938" t="b">
        <v>1</v>
      </c>
      <c r="H938">
        <f>(Table1[[#This Row],[price]]*Table1[[#This Row],[units_sold]])</f>
        <v>88818</v>
      </c>
      <c r="I938" t="str">
        <f>IF(Table1[[#This Row],[in_stock]]=TRUE,"Available","Out of stock")</f>
        <v>Available</v>
      </c>
      <c r="J938" t="str">
        <f>IF(Table1[[#This Row],[rating]]&gt;=4,"High",IF(Table1[[#This Row],[rating]]&gt;=2.5,"Medium","Low"))</f>
        <v>Medium</v>
      </c>
      <c r="K938" t="str">
        <f>IF(Table1[[#This Row],[price]]&lt;200,"Budget",IF(Table1[[#This Row],[price]]&lt;600,"Mid-Range",IF(Table1[[#This Row],[price]]&lt;1000,"Premium","Luxury")))</f>
        <v>Mid-Range</v>
      </c>
      <c r="L938" t="str">
        <f>IF(Table1[[#This Row],[units_sold]]&lt;50,"Very Low",IF(Table1[[#This Row],[units_sold]]&lt;150,"Low",IF(Table1[[#This Row],[units_sold]]&lt;300,"Medium","High")))</f>
        <v>Medium</v>
      </c>
      <c r="M938" t="str">
        <f t="shared" si="29"/>
        <v>Normal</v>
      </c>
      <c r="N938">
        <f>(Table1[[#This Row],[price]]*0.7)</f>
        <v>237.29999999999998</v>
      </c>
    </row>
    <row r="939" spans="1:14" x14ac:dyDescent="0.35">
      <c r="A939" t="str">
        <f t="shared" si="28"/>
        <v>P938</v>
      </c>
      <c r="B939" t="s">
        <v>16</v>
      </c>
      <c r="C939" t="s">
        <v>9</v>
      </c>
      <c r="D939">
        <v>268.89</v>
      </c>
      <c r="E939">
        <v>214</v>
      </c>
      <c r="F939">
        <v>4.5</v>
      </c>
      <c r="G939" t="b">
        <v>1</v>
      </c>
      <c r="H939">
        <f>(Table1[[#This Row],[price]]*Table1[[#This Row],[units_sold]])</f>
        <v>57542.46</v>
      </c>
      <c r="I939" t="str">
        <f>IF(Table1[[#This Row],[in_stock]]=TRUE,"Available","Out of stock")</f>
        <v>Available</v>
      </c>
      <c r="J939" t="str">
        <f>IF(Table1[[#This Row],[rating]]&gt;=4,"High",IF(Table1[[#This Row],[rating]]&gt;=2.5,"Medium","Low"))</f>
        <v>High</v>
      </c>
      <c r="K939" t="str">
        <f>IF(Table1[[#This Row],[price]]&lt;200,"Budget",IF(Table1[[#This Row],[price]]&lt;600,"Mid-Range",IF(Table1[[#This Row],[price]]&lt;1000,"Premium","Luxury")))</f>
        <v>Mid-Range</v>
      </c>
      <c r="L939" t="str">
        <f>IF(Table1[[#This Row],[units_sold]]&lt;50,"Very Low",IF(Table1[[#This Row],[units_sold]]&lt;150,"Low",IF(Table1[[#This Row],[units_sold]]&lt;300,"Medium","High")))</f>
        <v>Medium</v>
      </c>
      <c r="M939" t="str">
        <f t="shared" si="29"/>
        <v>Normal</v>
      </c>
      <c r="N939">
        <f>(Table1[[#This Row],[price]]*0.7)</f>
        <v>188.22299999999998</v>
      </c>
    </row>
    <row r="940" spans="1:14" x14ac:dyDescent="0.35">
      <c r="A940" t="str">
        <f t="shared" si="28"/>
        <v>P939</v>
      </c>
      <c r="B940" t="s">
        <v>16</v>
      </c>
      <c r="C940" t="s">
        <v>9</v>
      </c>
      <c r="D940">
        <v>987.03</v>
      </c>
      <c r="E940">
        <v>153</v>
      </c>
      <c r="F940">
        <v>3.5</v>
      </c>
      <c r="G940" t="b">
        <v>0</v>
      </c>
      <c r="H940">
        <f>(Table1[[#This Row],[price]]*Table1[[#This Row],[units_sold]])</f>
        <v>151015.59</v>
      </c>
      <c r="I940" t="str">
        <f>IF(Table1[[#This Row],[in_stock]]=TRUE,"Available","Out of stock")</f>
        <v>Out of stock</v>
      </c>
      <c r="J940" t="str">
        <f>IF(Table1[[#This Row],[rating]]&gt;=4,"High",IF(Table1[[#This Row],[rating]]&gt;=2.5,"Medium","Low"))</f>
        <v>Medium</v>
      </c>
      <c r="K940" t="str">
        <f>IF(Table1[[#This Row],[price]]&lt;200,"Budget",IF(Table1[[#This Row],[price]]&lt;600,"Mid-Range",IF(Table1[[#This Row],[price]]&lt;1000,"Premium","Luxury")))</f>
        <v>Premium</v>
      </c>
      <c r="L940" t="str">
        <f>IF(Table1[[#This Row],[units_sold]]&lt;50,"Very Low",IF(Table1[[#This Row],[units_sold]]&lt;150,"Low",IF(Table1[[#This Row],[units_sold]]&lt;300,"Medium","High")))</f>
        <v>Medium</v>
      </c>
      <c r="M940" t="str">
        <f t="shared" si="29"/>
        <v>Normal</v>
      </c>
      <c r="N940">
        <f>(Table1[[#This Row],[price]]*0.7)</f>
        <v>690.92099999999994</v>
      </c>
    </row>
    <row r="941" spans="1:14" x14ac:dyDescent="0.35">
      <c r="A941" t="str">
        <f t="shared" si="28"/>
        <v>P940</v>
      </c>
      <c r="B941" t="s">
        <v>14</v>
      </c>
      <c r="C941" t="s">
        <v>9</v>
      </c>
      <c r="D941">
        <v>1273.54</v>
      </c>
      <c r="E941">
        <v>210</v>
      </c>
      <c r="F941">
        <v>3.1</v>
      </c>
      <c r="G941" t="b">
        <v>1</v>
      </c>
      <c r="H941">
        <f>(Table1[[#This Row],[price]]*Table1[[#This Row],[units_sold]])</f>
        <v>267443.39999999997</v>
      </c>
      <c r="I941" t="str">
        <f>IF(Table1[[#This Row],[in_stock]]=TRUE,"Available","Out of stock")</f>
        <v>Available</v>
      </c>
      <c r="J941" t="str">
        <f>IF(Table1[[#This Row],[rating]]&gt;=4,"High",IF(Table1[[#This Row],[rating]]&gt;=2.5,"Medium","Low"))</f>
        <v>Medium</v>
      </c>
      <c r="K941" t="str">
        <f>IF(Table1[[#This Row],[price]]&lt;200,"Budget",IF(Table1[[#This Row],[price]]&lt;600,"Mid-Range",IF(Table1[[#This Row],[price]]&lt;1000,"Premium","Luxury")))</f>
        <v>Luxury</v>
      </c>
      <c r="L941" t="str">
        <f>IF(Table1[[#This Row],[units_sold]]&lt;50,"Very Low",IF(Table1[[#This Row],[units_sold]]&lt;150,"Low",IF(Table1[[#This Row],[units_sold]]&lt;300,"Medium","High")))</f>
        <v>Medium</v>
      </c>
      <c r="M941" t="str">
        <f t="shared" si="29"/>
        <v>Normal</v>
      </c>
      <c r="N941">
        <f>(Table1[[#This Row],[price]]*0.7)</f>
        <v>891.47799999999995</v>
      </c>
    </row>
    <row r="942" spans="1:14" x14ac:dyDescent="0.35">
      <c r="A942" t="str">
        <f t="shared" si="28"/>
        <v>P941</v>
      </c>
      <c r="B942" t="s">
        <v>11</v>
      </c>
      <c r="C942" t="s">
        <v>9</v>
      </c>
      <c r="D942">
        <v>1089.23</v>
      </c>
      <c r="E942">
        <v>401</v>
      </c>
      <c r="F942">
        <v>1.5</v>
      </c>
      <c r="G942" t="b">
        <v>1</v>
      </c>
      <c r="H942">
        <f>(Table1[[#This Row],[price]]*Table1[[#This Row],[units_sold]])</f>
        <v>436781.23</v>
      </c>
      <c r="I942" t="str">
        <f>IF(Table1[[#This Row],[in_stock]]=TRUE,"Available","Out of stock")</f>
        <v>Available</v>
      </c>
      <c r="J942" t="str">
        <f>IF(Table1[[#This Row],[rating]]&gt;=4,"High",IF(Table1[[#This Row],[rating]]&gt;=2.5,"Medium","Low"))</f>
        <v>Low</v>
      </c>
      <c r="K942" t="str">
        <f>IF(Table1[[#This Row],[price]]&lt;200,"Budget",IF(Table1[[#This Row],[price]]&lt;600,"Mid-Range",IF(Table1[[#This Row],[price]]&lt;1000,"Premium","Luxury")))</f>
        <v>Luxury</v>
      </c>
      <c r="L942" t="str">
        <f>IF(Table1[[#This Row],[units_sold]]&lt;50,"Very Low",IF(Table1[[#This Row],[units_sold]]&lt;150,"Low",IF(Table1[[#This Row],[units_sold]]&lt;300,"Medium","High")))</f>
        <v>High</v>
      </c>
      <c r="M942" t="str">
        <f t="shared" si="29"/>
        <v>Normal</v>
      </c>
      <c r="N942">
        <f>(Table1[[#This Row],[price]]*0.7)</f>
        <v>762.46100000000001</v>
      </c>
    </row>
    <row r="943" spans="1:14" x14ac:dyDescent="0.35">
      <c r="A943" t="str">
        <f t="shared" si="28"/>
        <v>P942</v>
      </c>
      <c r="B943" t="s">
        <v>12</v>
      </c>
      <c r="C943" t="s">
        <v>7</v>
      </c>
      <c r="D943">
        <v>1190.22</v>
      </c>
      <c r="E943">
        <v>61</v>
      </c>
      <c r="F943">
        <v>3.4</v>
      </c>
      <c r="G943" t="b">
        <v>1</v>
      </c>
      <c r="H943">
        <f>(Table1[[#This Row],[price]]*Table1[[#This Row],[units_sold]])</f>
        <v>72603.42</v>
      </c>
      <c r="I943" t="str">
        <f>IF(Table1[[#This Row],[in_stock]]=TRUE,"Available","Out of stock")</f>
        <v>Available</v>
      </c>
      <c r="J943" t="str">
        <f>IF(Table1[[#This Row],[rating]]&gt;=4,"High",IF(Table1[[#This Row],[rating]]&gt;=2.5,"Medium","Low"))</f>
        <v>Medium</v>
      </c>
      <c r="K943" t="str">
        <f>IF(Table1[[#This Row],[price]]&lt;200,"Budget",IF(Table1[[#This Row],[price]]&lt;600,"Mid-Range",IF(Table1[[#This Row],[price]]&lt;1000,"Premium","Luxury")))</f>
        <v>Luxury</v>
      </c>
      <c r="L943" t="str">
        <f>IF(Table1[[#This Row],[units_sold]]&lt;50,"Very Low",IF(Table1[[#This Row],[units_sold]]&lt;150,"Low",IF(Table1[[#This Row],[units_sold]]&lt;300,"Medium","High")))</f>
        <v>Low</v>
      </c>
      <c r="M943" t="str">
        <f t="shared" si="29"/>
        <v>Normal</v>
      </c>
      <c r="N943">
        <f>(Table1[[#This Row],[price]]*0.7)</f>
        <v>833.154</v>
      </c>
    </row>
    <row r="944" spans="1:14" x14ac:dyDescent="0.35">
      <c r="A944" t="str">
        <f t="shared" si="28"/>
        <v>P943</v>
      </c>
      <c r="B944" t="s">
        <v>6</v>
      </c>
      <c r="C944" t="s">
        <v>7</v>
      </c>
      <c r="D944">
        <v>613.15</v>
      </c>
      <c r="E944">
        <v>268</v>
      </c>
      <c r="F944">
        <v>1.5</v>
      </c>
      <c r="G944" t="b">
        <v>1</v>
      </c>
      <c r="H944">
        <f>(Table1[[#This Row],[price]]*Table1[[#This Row],[units_sold]])</f>
        <v>164324.19999999998</v>
      </c>
      <c r="I944" t="str">
        <f>IF(Table1[[#This Row],[in_stock]]=TRUE,"Available","Out of stock")</f>
        <v>Available</v>
      </c>
      <c r="J944" t="str">
        <f>IF(Table1[[#This Row],[rating]]&gt;=4,"High",IF(Table1[[#This Row],[rating]]&gt;=2.5,"Medium","Low"))</f>
        <v>Low</v>
      </c>
      <c r="K944" t="str">
        <f>IF(Table1[[#This Row],[price]]&lt;200,"Budget",IF(Table1[[#This Row],[price]]&lt;600,"Mid-Range",IF(Table1[[#This Row],[price]]&lt;1000,"Premium","Luxury")))</f>
        <v>Premium</v>
      </c>
      <c r="L944" t="str">
        <f>IF(Table1[[#This Row],[units_sold]]&lt;50,"Very Low",IF(Table1[[#This Row],[units_sold]]&lt;150,"Low",IF(Table1[[#This Row],[units_sold]]&lt;300,"Medium","High")))</f>
        <v>Medium</v>
      </c>
      <c r="M944" t="str">
        <f t="shared" si="29"/>
        <v>Normal</v>
      </c>
      <c r="N944">
        <f>(Table1[[#This Row],[price]]*0.7)</f>
        <v>429.20499999999998</v>
      </c>
    </row>
    <row r="945" spans="1:14" x14ac:dyDescent="0.35">
      <c r="A945" t="str">
        <f t="shared" si="28"/>
        <v>P944</v>
      </c>
      <c r="B945" t="s">
        <v>6</v>
      </c>
      <c r="C945" t="s">
        <v>7</v>
      </c>
      <c r="D945">
        <v>984.57</v>
      </c>
      <c r="E945">
        <v>262</v>
      </c>
      <c r="F945">
        <v>2.2999999999999998</v>
      </c>
      <c r="G945" t="b">
        <v>1</v>
      </c>
      <c r="H945">
        <f>(Table1[[#This Row],[price]]*Table1[[#This Row],[units_sold]])</f>
        <v>257957.34000000003</v>
      </c>
      <c r="I945" t="str">
        <f>IF(Table1[[#This Row],[in_stock]]=TRUE,"Available","Out of stock")</f>
        <v>Available</v>
      </c>
      <c r="J945" t="str">
        <f>IF(Table1[[#This Row],[rating]]&gt;=4,"High",IF(Table1[[#This Row],[rating]]&gt;=2.5,"Medium","Low"))</f>
        <v>Low</v>
      </c>
      <c r="K945" t="str">
        <f>IF(Table1[[#This Row],[price]]&lt;200,"Budget",IF(Table1[[#This Row],[price]]&lt;600,"Mid-Range",IF(Table1[[#This Row],[price]]&lt;1000,"Premium","Luxury")))</f>
        <v>Premium</v>
      </c>
      <c r="L945" t="str">
        <f>IF(Table1[[#This Row],[units_sold]]&lt;50,"Very Low",IF(Table1[[#This Row],[units_sold]]&lt;150,"Low",IF(Table1[[#This Row],[units_sold]]&lt;300,"Medium","High")))</f>
        <v>Medium</v>
      </c>
      <c r="M945" t="str">
        <f t="shared" si="29"/>
        <v>Normal</v>
      </c>
      <c r="N945">
        <f>(Table1[[#This Row],[price]]*0.7)</f>
        <v>689.19899999999996</v>
      </c>
    </row>
    <row r="946" spans="1:14" x14ac:dyDescent="0.35">
      <c r="A946" t="str">
        <f t="shared" si="28"/>
        <v>P945</v>
      </c>
      <c r="B946" t="s">
        <v>13</v>
      </c>
      <c r="C946" t="s">
        <v>9</v>
      </c>
      <c r="D946">
        <v>537.80999999999995</v>
      </c>
      <c r="E946">
        <v>218</v>
      </c>
      <c r="F946">
        <v>1.6</v>
      </c>
      <c r="G946" t="b">
        <v>1</v>
      </c>
      <c r="H946">
        <f>(Table1[[#This Row],[price]]*Table1[[#This Row],[units_sold]])</f>
        <v>117242.57999999999</v>
      </c>
      <c r="I946" t="str">
        <f>IF(Table1[[#This Row],[in_stock]]=TRUE,"Available","Out of stock")</f>
        <v>Available</v>
      </c>
      <c r="J946" t="str">
        <f>IF(Table1[[#This Row],[rating]]&gt;=4,"High",IF(Table1[[#This Row],[rating]]&gt;=2.5,"Medium","Low"))</f>
        <v>Low</v>
      </c>
      <c r="K946" t="str">
        <f>IF(Table1[[#This Row],[price]]&lt;200,"Budget",IF(Table1[[#This Row],[price]]&lt;600,"Mid-Range",IF(Table1[[#This Row],[price]]&lt;1000,"Premium","Luxury")))</f>
        <v>Mid-Range</v>
      </c>
      <c r="L946" t="str">
        <f>IF(Table1[[#This Row],[units_sold]]&lt;50,"Very Low",IF(Table1[[#This Row],[units_sold]]&lt;150,"Low",IF(Table1[[#This Row],[units_sold]]&lt;300,"Medium","High")))</f>
        <v>Medium</v>
      </c>
      <c r="M946" t="str">
        <f t="shared" si="29"/>
        <v>Normal</v>
      </c>
      <c r="N946">
        <f>(Table1[[#This Row],[price]]*0.7)</f>
        <v>376.46699999999993</v>
      </c>
    </row>
    <row r="947" spans="1:14" x14ac:dyDescent="0.35">
      <c r="A947" t="str">
        <f t="shared" si="28"/>
        <v>P946</v>
      </c>
      <c r="B947" t="s">
        <v>14</v>
      </c>
      <c r="C947" t="s">
        <v>9</v>
      </c>
      <c r="D947">
        <v>793</v>
      </c>
      <c r="E947">
        <v>283</v>
      </c>
      <c r="F947">
        <v>3.8</v>
      </c>
      <c r="G947" t="b">
        <v>0</v>
      </c>
      <c r="H947">
        <f>(Table1[[#This Row],[price]]*Table1[[#This Row],[units_sold]])</f>
        <v>224419</v>
      </c>
      <c r="I947" t="str">
        <f>IF(Table1[[#This Row],[in_stock]]=TRUE,"Available","Out of stock")</f>
        <v>Out of stock</v>
      </c>
      <c r="J947" t="str">
        <f>IF(Table1[[#This Row],[rating]]&gt;=4,"High",IF(Table1[[#This Row],[rating]]&gt;=2.5,"Medium","Low"))</f>
        <v>Medium</v>
      </c>
      <c r="K947" t="str">
        <f>IF(Table1[[#This Row],[price]]&lt;200,"Budget",IF(Table1[[#This Row],[price]]&lt;600,"Mid-Range",IF(Table1[[#This Row],[price]]&lt;1000,"Premium","Luxury")))</f>
        <v>Premium</v>
      </c>
      <c r="L947" t="str">
        <f>IF(Table1[[#This Row],[units_sold]]&lt;50,"Very Low",IF(Table1[[#This Row],[units_sold]]&lt;150,"Low",IF(Table1[[#This Row],[units_sold]]&lt;300,"Medium","High")))</f>
        <v>Medium</v>
      </c>
      <c r="M947" t="str">
        <f t="shared" si="29"/>
        <v>Normal</v>
      </c>
      <c r="N947">
        <f>(Table1[[#This Row],[price]]*0.7)</f>
        <v>555.09999999999991</v>
      </c>
    </row>
    <row r="948" spans="1:14" x14ac:dyDescent="0.35">
      <c r="A948" t="str">
        <f t="shared" si="28"/>
        <v>P947</v>
      </c>
      <c r="B948" t="s">
        <v>13</v>
      </c>
      <c r="C948" t="s">
        <v>9</v>
      </c>
      <c r="D948">
        <v>727.64</v>
      </c>
      <c r="E948">
        <v>136</v>
      </c>
      <c r="F948">
        <v>1.8</v>
      </c>
      <c r="G948" t="b">
        <v>1</v>
      </c>
      <c r="H948">
        <f>(Table1[[#This Row],[price]]*Table1[[#This Row],[units_sold]])</f>
        <v>98959.039999999994</v>
      </c>
      <c r="I948" t="str">
        <f>IF(Table1[[#This Row],[in_stock]]=TRUE,"Available","Out of stock")</f>
        <v>Available</v>
      </c>
      <c r="J948" t="str">
        <f>IF(Table1[[#This Row],[rating]]&gt;=4,"High",IF(Table1[[#This Row],[rating]]&gt;=2.5,"Medium","Low"))</f>
        <v>Low</v>
      </c>
      <c r="K948" t="str">
        <f>IF(Table1[[#This Row],[price]]&lt;200,"Budget",IF(Table1[[#This Row],[price]]&lt;600,"Mid-Range",IF(Table1[[#This Row],[price]]&lt;1000,"Premium","Luxury")))</f>
        <v>Premium</v>
      </c>
      <c r="L948" t="str">
        <f>IF(Table1[[#This Row],[units_sold]]&lt;50,"Very Low",IF(Table1[[#This Row],[units_sold]]&lt;150,"Low",IF(Table1[[#This Row],[units_sold]]&lt;300,"Medium","High")))</f>
        <v>Low</v>
      </c>
      <c r="M948" t="str">
        <f t="shared" si="29"/>
        <v>Normal</v>
      </c>
      <c r="N948">
        <f>(Table1[[#This Row],[price]]*0.7)</f>
        <v>509.34799999999996</v>
      </c>
    </row>
    <row r="949" spans="1:14" x14ac:dyDescent="0.35">
      <c r="A949" t="str">
        <f t="shared" si="28"/>
        <v>P948</v>
      </c>
      <c r="B949" t="s">
        <v>15</v>
      </c>
      <c r="C949" t="s">
        <v>7</v>
      </c>
      <c r="D949">
        <v>273.56</v>
      </c>
      <c r="E949">
        <v>467</v>
      </c>
      <c r="F949">
        <v>2.6</v>
      </c>
      <c r="G949" t="b">
        <v>1</v>
      </c>
      <c r="H949">
        <f>(Table1[[#This Row],[price]]*Table1[[#This Row],[units_sold]])</f>
        <v>127752.52</v>
      </c>
      <c r="I949" t="str">
        <f>IF(Table1[[#This Row],[in_stock]]=TRUE,"Available","Out of stock")</f>
        <v>Available</v>
      </c>
      <c r="J949" t="str">
        <f>IF(Table1[[#This Row],[rating]]&gt;=4,"High",IF(Table1[[#This Row],[rating]]&gt;=2.5,"Medium","Low"))</f>
        <v>Medium</v>
      </c>
      <c r="K949" t="str">
        <f>IF(Table1[[#This Row],[price]]&lt;200,"Budget",IF(Table1[[#This Row],[price]]&lt;600,"Mid-Range",IF(Table1[[#This Row],[price]]&lt;1000,"Premium","Luxury")))</f>
        <v>Mid-Range</v>
      </c>
      <c r="L949" t="str">
        <f>IF(Table1[[#This Row],[units_sold]]&lt;50,"Very Low",IF(Table1[[#This Row],[units_sold]]&lt;150,"Low",IF(Table1[[#This Row],[units_sold]]&lt;300,"Medium","High")))</f>
        <v>High</v>
      </c>
      <c r="M949" t="str">
        <f t="shared" si="29"/>
        <v>Normal</v>
      </c>
      <c r="N949">
        <f>(Table1[[#This Row],[price]]*0.7)</f>
        <v>191.49199999999999</v>
      </c>
    </row>
    <row r="950" spans="1:14" x14ac:dyDescent="0.35">
      <c r="A950" t="str">
        <f t="shared" si="28"/>
        <v>P949</v>
      </c>
      <c r="B950" t="s">
        <v>15</v>
      </c>
      <c r="C950" t="s">
        <v>7</v>
      </c>
      <c r="D950">
        <v>586.75</v>
      </c>
      <c r="E950">
        <v>380</v>
      </c>
      <c r="F950">
        <v>4.5999999999999996</v>
      </c>
      <c r="G950" t="b">
        <v>1</v>
      </c>
      <c r="H950">
        <f>(Table1[[#This Row],[price]]*Table1[[#This Row],[units_sold]])</f>
        <v>222965</v>
      </c>
      <c r="I950" t="str">
        <f>IF(Table1[[#This Row],[in_stock]]=TRUE,"Available","Out of stock")</f>
        <v>Available</v>
      </c>
      <c r="J950" t="str">
        <f>IF(Table1[[#This Row],[rating]]&gt;=4,"High",IF(Table1[[#This Row],[rating]]&gt;=2.5,"Medium","Low"))</f>
        <v>High</v>
      </c>
      <c r="K950" t="str">
        <f>IF(Table1[[#This Row],[price]]&lt;200,"Budget",IF(Table1[[#This Row],[price]]&lt;600,"Mid-Range",IF(Table1[[#This Row],[price]]&lt;1000,"Premium","Luxury")))</f>
        <v>Mid-Range</v>
      </c>
      <c r="L950" t="str">
        <f>IF(Table1[[#This Row],[units_sold]]&lt;50,"Very Low",IF(Table1[[#This Row],[units_sold]]&lt;150,"Low",IF(Table1[[#This Row],[units_sold]]&lt;300,"Medium","High")))</f>
        <v>High</v>
      </c>
      <c r="M950" t="str">
        <f t="shared" si="29"/>
        <v>Normal</v>
      </c>
      <c r="N950">
        <f>(Table1[[#This Row],[price]]*0.7)</f>
        <v>410.72499999999997</v>
      </c>
    </row>
    <row r="951" spans="1:14" x14ac:dyDescent="0.35">
      <c r="A951" t="str">
        <f t="shared" si="28"/>
        <v>P950</v>
      </c>
      <c r="B951" t="s">
        <v>13</v>
      </c>
      <c r="C951" t="s">
        <v>9</v>
      </c>
      <c r="D951">
        <v>1446.1</v>
      </c>
      <c r="E951">
        <v>362</v>
      </c>
      <c r="F951">
        <v>1.8</v>
      </c>
      <c r="G951" t="b">
        <v>1</v>
      </c>
      <c r="H951">
        <f>(Table1[[#This Row],[price]]*Table1[[#This Row],[units_sold]])</f>
        <v>523488.19999999995</v>
      </c>
      <c r="I951" t="str">
        <f>IF(Table1[[#This Row],[in_stock]]=TRUE,"Available","Out of stock")</f>
        <v>Available</v>
      </c>
      <c r="J951" t="str">
        <f>IF(Table1[[#This Row],[rating]]&gt;=4,"High",IF(Table1[[#This Row],[rating]]&gt;=2.5,"Medium","Low"))</f>
        <v>Low</v>
      </c>
      <c r="K951" t="str">
        <f>IF(Table1[[#This Row],[price]]&lt;200,"Budget",IF(Table1[[#This Row],[price]]&lt;600,"Mid-Range",IF(Table1[[#This Row],[price]]&lt;1000,"Premium","Luxury")))</f>
        <v>Luxury</v>
      </c>
      <c r="L951" t="str">
        <f>IF(Table1[[#This Row],[units_sold]]&lt;50,"Very Low",IF(Table1[[#This Row],[units_sold]]&lt;150,"Low",IF(Table1[[#This Row],[units_sold]]&lt;300,"Medium","High")))</f>
        <v>High</v>
      </c>
      <c r="M951" t="str">
        <f t="shared" si="29"/>
        <v>Normal</v>
      </c>
      <c r="N951">
        <f>(Table1[[#This Row],[price]]*0.7)</f>
        <v>1012.2699999999999</v>
      </c>
    </row>
    <row r="952" spans="1:14" x14ac:dyDescent="0.35">
      <c r="A952" t="str">
        <f t="shared" si="28"/>
        <v>P951</v>
      </c>
      <c r="B952" t="s">
        <v>14</v>
      </c>
      <c r="C952" t="s">
        <v>9</v>
      </c>
      <c r="D952">
        <v>380.38</v>
      </c>
      <c r="E952">
        <v>449</v>
      </c>
      <c r="F952">
        <v>3</v>
      </c>
      <c r="G952" t="b">
        <v>0</v>
      </c>
      <c r="H952">
        <f>(Table1[[#This Row],[price]]*Table1[[#This Row],[units_sold]])</f>
        <v>170790.62</v>
      </c>
      <c r="I952" t="str">
        <f>IF(Table1[[#This Row],[in_stock]]=TRUE,"Available","Out of stock")</f>
        <v>Out of stock</v>
      </c>
      <c r="J952" t="str">
        <f>IF(Table1[[#This Row],[rating]]&gt;=4,"High",IF(Table1[[#This Row],[rating]]&gt;=2.5,"Medium","Low"))</f>
        <v>Medium</v>
      </c>
      <c r="K952" t="str">
        <f>IF(Table1[[#This Row],[price]]&lt;200,"Budget",IF(Table1[[#This Row],[price]]&lt;600,"Mid-Range",IF(Table1[[#This Row],[price]]&lt;1000,"Premium","Luxury")))</f>
        <v>Mid-Range</v>
      </c>
      <c r="L952" t="str">
        <f>IF(Table1[[#This Row],[units_sold]]&lt;50,"Very Low",IF(Table1[[#This Row],[units_sold]]&lt;150,"Low",IF(Table1[[#This Row],[units_sold]]&lt;300,"Medium","High")))</f>
        <v>High</v>
      </c>
      <c r="M952" t="str">
        <f t="shared" si="29"/>
        <v>High Demand - Out of Stock</v>
      </c>
      <c r="N952">
        <f>(Table1[[#This Row],[price]]*0.7)</f>
        <v>266.26599999999996</v>
      </c>
    </row>
    <row r="953" spans="1:14" x14ac:dyDescent="0.35">
      <c r="A953" t="str">
        <f t="shared" si="28"/>
        <v>P952</v>
      </c>
      <c r="B953" t="s">
        <v>13</v>
      </c>
      <c r="C953" t="s">
        <v>9</v>
      </c>
      <c r="D953">
        <v>209.37</v>
      </c>
      <c r="E953">
        <v>441</v>
      </c>
      <c r="F953">
        <v>2.7</v>
      </c>
      <c r="G953" t="b">
        <v>1</v>
      </c>
      <c r="H953">
        <f>(Table1[[#This Row],[price]]*Table1[[#This Row],[units_sold]])</f>
        <v>92332.17</v>
      </c>
      <c r="I953" t="str">
        <f>IF(Table1[[#This Row],[in_stock]]=TRUE,"Available","Out of stock")</f>
        <v>Available</v>
      </c>
      <c r="J953" t="str">
        <f>IF(Table1[[#This Row],[rating]]&gt;=4,"High",IF(Table1[[#This Row],[rating]]&gt;=2.5,"Medium","Low"))</f>
        <v>Medium</v>
      </c>
      <c r="K953" t="str">
        <f>IF(Table1[[#This Row],[price]]&lt;200,"Budget",IF(Table1[[#This Row],[price]]&lt;600,"Mid-Range",IF(Table1[[#This Row],[price]]&lt;1000,"Premium","Luxury")))</f>
        <v>Mid-Range</v>
      </c>
      <c r="L953" t="str">
        <f>IF(Table1[[#This Row],[units_sold]]&lt;50,"Very Low",IF(Table1[[#This Row],[units_sold]]&lt;150,"Low",IF(Table1[[#This Row],[units_sold]]&lt;300,"Medium","High")))</f>
        <v>High</v>
      </c>
      <c r="M953" t="str">
        <f t="shared" si="29"/>
        <v>Normal</v>
      </c>
      <c r="N953">
        <f>(Table1[[#This Row],[price]]*0.7)</f>
        <v>146.559</v>
      </c>
    </row>
    <row r="954" spans="1:14" x14ac:dyDescent="0.35">
      <c r="A954" t="str">
        <f t="shared" si="28"/>
        <v>P953</v>
      </c>
      <c r="B954" t="s">
        <v>6</v>
      </c>
      <c r="C954" t="s">
        <v>7</v>
      </c>
      <c r="D954">
        <v>633.69000000000005</v>
      </c>
      <c r="E954">
        <v>93</v>
      </c>
      <c r="F954">
        <v>1.1000000000000001</v>
      </c>
      <c r="G954" t="b">
        <v>1</v>
      </c>
      <c r="H954">
        <f>(Table1[[#This Row],[price]]*Table1[[#This Row],[units_sold]])</f>
        <v>58933.170000000006</v>
      </c>
      <c r="I954" t="str">
        <f>IF(Table1[[#This Row],[in_stock]]=TRUE,"Available","Out of stock")</f>
        <v>Available</v>
      </c>
      <c r="J954" t="str">
        <f>IF(Table1[[#This Row],[rating]]&gt;=4,"High",IF(Table1[[#This Row],[rating]]&gt;=2.5,"Medium","Low"))</f>
        <v>Low</v>
      </c>
      <c r="K954" t="str">
        <f>IF(Table1[[#This Row],[price]]&lt;200,"Budget",IF(Table1[[#This Row],[price]]&lt;600,"Mid-Range",IF(Table1[[#This Row],[price]]&lt;1000,"Premium","Luxury")))</f>
        <v>Premium</v>
      </c>
      <c r="L954" t="str">
        <f>IF(Table1[[#This Row],[units_sold]]&lt;50,"Very Low",IF(Table1[[#This Row],[units_sold]]&lt;150,"Low",IF(Table1[[#This Row],[units_sold]]&lt;300,"Medium","High")))</f>
        <v>Low</v>
      </c>
      <c r="M954" t="str">
        <f t="shared" si="29"/>
        <v>Normal</v>
      </c>
      <c r="N954">
        <f>(Table1[[#This Row],[price]]*0.7)</f>
        <v>443.58300000000003</v>
      </c>
    </row>
    <row r="955" spans="1:14" x14ac:dyDescent="0.35">
      <c r="A955" t="str">
        <f t="shared" si="28"/>
        <v>P954</v>
      </c>
      <c r="B955" t="s">
        <v>10</v>
      </c>
      <c r="C955" t="s">
        <v>9</v>
      </c>
      <c r="D955">
        <v>1187.5999999999999</v>
      </c>
      <c r="E955">
        <v>109</v>
      </c>
      <c r="F955">
        <v>4.2</v>
      </c>
      <c r="G955" t="b">
        <v>1</v>
      </c>
      <c r="H955">
        <f>(Table1[[#This Row],[price]]*Table1[[#This Row],[units_sold]])</f>
        <v>129448.4</v>
      </c>
      <c r="I955" t="str">
        <f>IF(Table1[[#This Row],[in_stock]]=TRUE,"Available","Out of stock")</f>
        <v>Available</v>
      </c>
      <c r="J955" t="str">
        <f>IF(Table1[[#This Row],[rating]]&gt;=4,"High",IF(Table1[[#This Row],[rating]]&gt;=2.5,"Medium","Low"))</f>
        <v>High</v>
      </c>
      <c r="K955" t="str">
        <f>IF(Table1[[#This Row],[price]]&lt;200,"Budget",IF(Table1[[#This Row],[price]]&lt;600,"Mid-Range",IF(Table1[[#This Row],[price]]&lt;1000,"Premium","Luxury")))</f>
        <v>Luxury</v>
      </c>
      <c r="L955" t="str">
        <f>IF(Table1[[#This Row],[units_sold]]&lt;50,"Very Low",IF(Table1[[#This Row],[units_sold]]&lt;150,"Low",IF(Table1[[#This Row],[units_sold]]&lt;300,"Medium","High")))</f>
        <v>Low</v>
      </c>
      <c r="M955" t="str">
        <f t="shared" si="29"/>
        <v>Normal</v>
      </c>
      <c r="N955">
        <f>(Table1[[#This Row],[price]]*0.7)</f>
        <v>831.31999999999994</v>
      </c>
    </row>
    <row r="956" spans="1:14" x14ac:dyDescent="0.35">
      <c r="A956" t="str">
        <f t="shared" si="28"/>
        <v>P955</v>
      </c>
      <c r="B956" t="s">
        <v>17</v>
      </c>
      <c r="C956" t="s">
        <v>7</v>
      </c>
      <c r="D956">
        <v>877.4</v>
      </c>
      <c r="E956">
        <v>241</v>
      </c>
      <c r="F956">
        <v>1.3</v>
      </c>
      <c r="G956" t="b">
        <v>1</v>
      </c>
      <c r="H956">
        <f>(Table1[[#This Row],[price]]*Table1[[#This Row],[units_sold]])</f>
        <v>211453.4</v>
      </c>
      <c r="I956" t="str">
        <f>IF(Table1[[#This Row],[in_stock]]=TRUE,"Available","Out of stock")</f>
        <v>Available</v>
      </c>
      <c r="J956" t="str">
        <f>IF(Table1[[#This Row],[rating]]&gt;=4,"High",IF(Table1[[#This Row],[rating]]&gt;=2.5,"Medium","Low"))</f>
        <v>Low</v>
      </c>
      <c r="K956" t="str">
        <f>IF(Table1[[#This Row],[price]]&lt;200,"Budget",IF(Table1[[#This Row],[price]]&lt;600,"Mid-Range",IF(Table1[[#This Row],[price]]&lt;1000,"Premium","Luxury")))</f>
        <v>Premium</v>
      </c>
      <c r="L956" t="str">
        <f>IF(Table1[[#This Row],[units_sold]]&lt;50,"Very Low",IF(Table1[[#This Row],[units_sold]]&lt;150,"Low",IF(Table1[[#This Row],[units_sold]]&lt;300,"Medium","High")))</f>
        <v>Medium</v>
      </c>
      <c r="M956" t="str">
        <f t="shared" si="29"/>
        <v>Normal</v>
      </c>
      <c r="N956">
        <f>(Table1[[#This Row],[price]]*0.7)</f>
        <v>614.17999999999995</v>
      </c>
    </row>
    <row r="957" spans="1:14" x14ac:dyDescent="0.35">
      <c r="A957" t="str">
        <f t="shared" si="28"/>
        <v>P956</v>
      </c>
      <c r="B957" t="s">
        <v>16</v>
      </c>
      <c r="C957" t="s">
        <v>9</v>
      </c>
      <c r="D957">
        <v>1024.6500000000001</v>
      </c>
      <c r="E957">
        <v>355</v>
      </c>
      <c r="F957">
        <v>2.9</v>
      </c>
      <c r="G957" t="b">
        <v>1</v>
      </c>
      <c r="H957">
        <f>(Table1[[#This Row],[price]]*Table1[[#This Row],[units_sold]])</f>
        <v>363750.75000000006</v>
      </c>
      <c r="I957" t="str">
        <f>IF(Table1[[#This Row],[in_stock]]=TRUE,"Available","Out of stock")</f>
        <v>Available</v>
      </c>
      <c r="J957" t="str">
        <f>IF(Table1[[#This Row],[rating]]&gt;=4,"High",IF(Table1[[#This Row],[rating]]&gt;=2.5,"Medium","Low"))</f>
        <v>Medium</v>
      </c>
      <c r="K957" t="str">
        <f>IF(Table1[[#This Row],[price]]&lt;200,"Budget",IF(Table1[[#This Row],[price]]&lt;600,"Mid-Range",IF(Table1[[#This Row],[price]]&lt;1000,"Premium","Luxury")))</f>
        <v>Luxury</v>
      </c>
      <c r="L957" t="str">
        <f>IF(Table1[[#This Row],[units_sold]]&lt;50,"Very Low",IF(Table1[[#This Row],[units_sold]]&lt;150,"Low",IF(Table1[[#This Row],[units_sold]]&lt;300,"Medium","High")))</f>
        <v>High</v>
      </c>
      <c r="M957" t="str">
        <f t="shared" si="29"/>
        <v>Normal</v>
      </c>
      <c r="N957">
        <f>(Table1[[#This Row],[price]]*0.7)</f>
        <v>717.255</v>
      </c>
    </row>
    <row r="958" spans="1:14" x14ac:dyDescent="0.35">
      <c r="A958" t="str">
        <f t="shared" si="28"/>
        <v>P957</v>
      </c>
      <c r="B958" t="s">
        <v>17</v>
      </c>
      <c r="C958" t="s">
        <v>7</v>
      </c>
      <c r="D958">
        <v>292.64999999999998</v>
      </c>
      <c r="E958">
        <v>424</v>
      </c>
      <c r="F958">
        <v>3.2</v>
      </c>
      <c r="G958" t="b">
        <v>1</v>
      </c>
      <c r="H958">
        <f>(Table1[[#This Row],[price]]*Table1[[#This Row],[units_sold]])</f>
        <v>124083.59999999999</v>
      </c>
      <c r="I958" t="str">
        <f>IF(Table1[[#This Row],[in_stock]]=TRUE,"Available","Out of stock")</f>
        <v>Available</v>
      </c>
      <c r="J958" t="str">
        <f>IF(Table1[[#This Row],[rating]]&gt;=4,"High",IF(Table1[[#This Row],[rating]]&gt;=2.5,"Medium","Low"))</f>
        <v>Medium</v>
      </c>
      <c r="K958" t="str">
        <f>IF(Table1[[#This Row],[price]]&lt;200,"Budget",IF(Table1[[#This Row],[price]]&lt;600,"Mid-Range",IF(Table1[[#This Row],[price]]&lt;1000,"Premium","Luxury")))</f>
        <v>Mid-Range</v>
      </c>
      <c r="L958" t="str">
        <f>IF(Table1[[#This Row],[units_sold]]&lt;50,"Very Low",IF(Table1[[#This Row],[units_sold]]&lt;150,"Low",IF(Table1[[#This Row],[units_sold]]&lt;300,"Medium","High")))</f>
        <v>High</v>
      </c>
      <c r="M958" t="str">
        <f t="shared" si="29"/>
        <v>Normal</v>
      </c>
      <c r="N958">
        <f>(Table1[[#This Row],[price]]*0.7)</f>
        <v>204.85499999999996</v>
      </c>
    </row>
    <row r="959" spans="1:14" x14ac:dyDescent="0.35">
      <c r="A959" t="str">
        <f t="shared" si="28"/>
        <v>P958</v>
      </c>
      <c r="B959" t="s">
        <v>14</v>
      </c>
      <c r="C959" t="s">
        <v>9</v>
      </c>
      <c r="D959">
        <v>932.23</v>
      </c>
      <c r="E959">
        <v>142</v>
      </c>
      <c r="F959">
        <v>3.5</v>
      </c>
      <c r="G959" t="b">
        <v>0</v>
      </c>
      <c r="H959">
        <f>(Table1[[#This Row],[price]]*Table1[[#This Row],[units_sold]])</f>
        <v>132376.66</v>
      </c>
      <c r="I959" t="str">
        <f>IF(Table1[[#This Row],[in_stock]]=TRUE,"Available","Out of stock")</f>
        <v>Out of stock</v>
      </c>
      <c r="J959" t="str">
        <f>IF(Table1[[#This Row],[rating]]&gt;=4,"High",IF(Table1[[#This Row],[rating]]&gt;=2.5,"Medium","Low"))</f>
        <v>Medium</v>
      </c>
      <c r="K959" t="str">
        <f>IF(Table1[[#This Row],[price]]&lt;200,"Budget",IF(Table1[[#This Row],[price]]&lt;600,"Mid-Range",IF(Table1[[#This Row],[price]]&lt;1000,"Premium","Luxury")))</f>
        <v>Premium</v>
      </c>
      <c r="L959" t="str">
        <f>IF(Table1[[#This Row],[units_sold]]&lt;50,"Very Low",IF(Table1[[#This Row],[units_sold]]&lt;150,"Low",IF(Table1[[#This Row],[units_sold]]&lt;300,"Medium","High")))</f>
        <v>Low</v>
      </c>
      <c r="M959" t="str">
        <f t="shared" si="29"/>
        <v>Normal</v>
      </c>
      <c r="N959">
        <f>(Table1[[#This Row],[price]]*0.7)</f>
        <v>652.56099999999992</v>
      </c>
    </row>
    <row r="960" spans="1:14" x14ac:dyDescent="0.35">
      <c r="A960" t="str">
        <f t="shared" si="28"/>
        <v>P959</v>
      </c>
      <c r="B960" t="s">
        <v>17</v>
      </c>
      <c r="C960" t="s">
        <v>7</v>
      </c>
      <c r="D960">
        <v>492.02</v>
      </c>
      <c r="E960">
        <v>291</v>
      </c>
      <c r="F960">
        <v>3.8</v>
      </c>
      <c r="G960" t="b">
        <v>0</v>
      </c>
      <c r="H960">
        <f>(Table1[[#This Row],[price]]*Table1[[#This Row],[units_sold]])</f>
        <v>143177.82</v>
      </c>
      <c r="I960" t="str">
        <f>IF(Table1[[#This Row],[in_stock]]=TRUE,"Available","Out of stock")</f>
        <v>Out of stock</v>
      </c>
      <c r="J960" t="str">
        <f>IF(Table1[[#This Row],[rating]]&gt;=4,"High",IF(Table1[[#This Row],[rating]]&gt;=2.5,"Medium","Low"))</f>
        <v>Medium</v>
      </c>
      <c r="K960" t="str">
        <f>IF(Table1[[#This Row],[price]]&lt;200,"Budget",IF(Table1[[#This Row],[price]]&lt;600,"Mid-Range",IF(Table1[[#This Row],[price]]&lt;1000,"Premium","Luxury")))</f>
        <v>Mid-Range</v>
      </c>
      <c r="L960" t="str">
        <f>IF(Table1[[#This Row],[units_sold]]&lt;50,"Very Low",IF(Table1[[#This Row],[units_sold]]&lt;150,"Low",IF(Table1[[#This Row],[units_sold]]&lt;300,"Medium","High")))</f>
        <v>Medium</v>
      </c>
      <c r="M960" t="str">
        <f t="shared" si="29"/>
        <v>Normal</v>
      </c>
      <c r="N960">
        <f>(Table1[[#This Row],[price]]*0.7)</f>
        <v>344.41399999999999</v>
      </c>
    </row>
    <row r="961" spans="1:14" x14ac:dyDescent="0.35">
      <c r="A961" t="str">
        <f t="shared" si="28"/>
        <v>P960</v>
      </c>
      <c r="B961" t="s">
        <v>15</v>
      </c>
      <c r="C961" t="s">
        <v>7</v>
      </c>
      <c r="D961">
        <v>1253.1099999999999</v>
      </c>
      <c r="E961">
        <v>432</v>
      </c>
      <c r="F961">
        <v>2</v>
      </c>
      <c r="G961" t="b">
        <v>1</v>
      </c>
      <c r="H961">
        <f>(Table1[[#This Row],[price]]*Table1[[#This Row],[units_sold]])</f>
        <v>541343.5199999999</v>
      </c>
      <c r="I961" t="str">
        <f>IF(Table1[[#This Row],[in_stock]]=TRUE,"Available","Out of stock")</f>
        <v>Available</v>
      </c>
      <c r="J961" t="str">
        <f>IF(Table1[[#This Row],[rating]]&gt;=4,"High",IF(Table1[[#This Row],[rating]]&gt;=2.5,"Medium","Low"))</f>
        <v>Low</v>
      </c>
      <c r="K961" t="str">
        <f>IF(Table1[[#This Row],[price]]&lt;200,"Budget",IF(Table1[[#This Row],[price]]&lt;600,"Mid-Range",IF(Table1[[#This Row],[price]]&lt;1000,"Premium","Luxury")))</f>
        <v>Luxury</v>
      </c>
      <c r="L961" t="str">
        <f>IF(Table1[[#This Row],[units_sold]]&lt;50,"Very Low",IF(Table1[[#This Row],[units_sold]]&lt;150,"Low",IF(Table1[[#This Row],[units_sold]]&lt;300,"Medium","High")))</f>
        <v>High</v>
      </c>
      <c r="M961" t="str">
        <f t="shared" si="29"/>
        <v>Normal</v>
      </c>
      <c r="N961">
        <f>(Table1[[#This Row],[price]]*0.7)</f>
        <v>877.17699999999991</v>
      </c>
    </row>
    <row r="962" spans="1:14" x14ac:dyDescent="0.35">
      <c r="A962" t="str">
        <f t="shared" ref="A962:A1001" si="30">"P"&amp;TEXT(ROW()-1,"000")</f>
        <v>P961</v>
      </c>
      <c r="B962" t="s">
        <v>8</v>
      </c>
      <c r="C962" t="s">
        <v>9</v>
      </c>
      <c r="D962">
        <v>947.66</v>
      </c>
      <c r="E962">
        <v>237</v>
      </c>
      <c r="F962">
        <v>1</v>
      </c>
      <c r="G962" t="b">
        <v>0</v>
      </c>
      <c r="H962">
        <f>(Table1[[#This Row],[price]]*Table1[[#This Row],[units_sold]])</f>
        <v>224595.41999999998</v>
      </c>
      <c r="I962" t="str">
        <f>IF(Table1[[#This Row],[in_stock]]=TRUE,"Available","Out of stock")</f>
        <v>Out of stock</v>
      </c>
      <c r="J962" t="str">
        <f>IF(Table1[[#This Row],[rating]]&gt;=4,"High",IF(Table1[[#This Row],[rating]]&gt;=2.5,"Medium","Low"))</f>
        <v>Low</v>
      </c>
      <c r="K962" t="str">
        <f>IF(Table1[[#This Row],[price]]&lt;200,"Budget",IF(Table1[[#This Row],[price]]&lt;600,"Mid-Range",IF(Table1[[#This Row],[price]]&lt;1000,"Premium","Luxury")))</f>
        <v>Premium</v>
      </c>
      <c r="L962" t="str">
        <f>IF(Table1[[#This Row],[units_sold]]&lt;50,"Very Low",IF(Table1[[#This Row],[units_sold]]&lt;150,"Low",IF(Table1[[#This Row],[units_sold]]&lt;300,"Medium","High")))</f>
        <v>Medium</v>
      </c>
      <c r="M962" t="str">
        <f t="shared" ref="M962:M1001" si="31">IF(AND(E962&gt;300,G962=FALSE),"High Demand - Out of Stock","Normal")</f>
        <v>Normal</v>
      </c>
      <c r="N962">
        <f>(Table1[[#This Row],[price]]*0.7)</f>
        <v>663.36199999999997</v>
      </c>
    </row>
    <row r="963" spans="1:14" x14ac:dyDescent="0.35">
      <c r="A963" t="str">
        <f t="shared" si="30"/>
        <v>P962</v>
      </c>
      <c r="B963" t="s">
        <v>16</v>
      </c>
      <c r="C963" t="s">
        <v>9</v>
      </c>
      <c r="D963">
        <v>306.3</v>
      </c>
      <c r="E963">
        <v>340</v>
      </c>
      <c r="F963">
        <v>3.9</v>
      </c>
      <c r="G963" t="b">
        <v>1</v>
      </c>
      <c r="H963">
        <f>(Table1[[#This Row],[price]]*Table1[[#This Row],[units_sold]])</f>
        <v>104142</v>
      </c>
      <c r="I963" t="str">
        <f>IF(Table1[[#This Row],[in_stock]]=TRUE,"Available","Out of stock")</f>
        <v>Available</v>
      </c>
      <c r="J963" t="str">
        <f>IF(Table1[[#This Row],[rating]]&gt;=4,"High",IF(Table1[[#This Row],[rating]]&gt;=2.5,"Medium","Low"))</f>
        <v>Medium</v>
      </c>
      <c r="K963" t="str">
        <f>IF(Table1[[#This Row],[price]]&lt;200,"Budget",IF(Table1[[#This Row],[price]]&lt;600,"Mid-Range",IF(Table1[[#This Row],[price]]&lt;1000,"Premium","Luxury")))</f>
        <v>Mid-Range</v>
      </c>
      <c r="L963" t="str">
        <f>IF(Table1[[#This Row],[units_sold]]&lt;50,"Very Low",IF(Table1[[#This Row],[units_sold]]&lt;150,"Low",IF(Table1[[#This Row],[units_sold]]&lt;300,"Medium","High")))</f>
        <v>High</v>
      </c>
      <c r="M963" t="str">
        <f t="shared" si="31"/>
        <v>Normal</v>
      </c>
      <c r="N963">
        <f>(Table1[[#This Row],[price]]*0.7)</f>
        <v>214.41</v>
      </c>
    </row>
    <row r="964" spans="1:14" x14ac:dyDescent="0.35">
      <c r="A964" t="str">
        <f t="shared" si="30"/>
        <v>P963</v>
      </c>
      <c r="B964" t="s">
        <v>12</v>
      </c>
      <c r="C964" t="s">
        <v>7</v>
      </c>
      <c r="D964">
        <v>106.28</v>
      </c>
      <c r="E964">
        <v>312</v>
      </c>
      <c r="F964">
        <v>3.1</v>
      </c>
      <c r="G964" t="b">
        <v>1</v>
      </c>
      <c r="H964">
        <f>(Table1[[#This Row],[price]]*Table1[[#This Row],[units_sold]])</f>
        <v>33159.360000000001</v>
      </c>
      <c r="I964" t="str">
        <f>IF(Table1[[#This Row],[in_stock]]=TRUE,"Available","Out of stock")</f>
        <v>Available</v>
      </c>
      <c r="J964" t="str">
        <f>IF(Table1[[#This Row],[rating]]&gt;=4,"High",IF(Table1[[#This Row],[rating]]&gt;=2.5,"Medium","Low"))</f>
        <v>Medium</v>
      </c>
      <c r="K964" t="str">
        <f>IF(Table1[[#This Row],[price]]&lt;200,"Budget",IF(Table1[[#This Row],[price]]&lt;600,"Mid-Range",IF(Table1[[#This Row],[price]]&lt;1000,"Premium","Luxury")))</f>
        <v>Budget</v>
      </c>
      <c r="L964" t="str">
        <f>IF(Table1[[#This Row],[units_sold]]&lt;50,"Very Low",IF(Table1[[#This Row],[units_sold]]&lt;150,"Low",IF(Table1[[#This Row],[units_sold]]&lt;300,"Medium","High")))</f>
        <v>High</v>
      </c>
      <c r="M964" t="str">
        <f t="shared" si="31"/>
        <v>Normal</v>
      </c>
      <c r="N964">
        <f>(Table1[[#This Row],[price]]*0.7)</f>
        <v>74.396000000000001</v>
      </c>
    </row>
    <row r="965" spans="1:14" x14ac:dyDescent="0.35">
      <c r="A965" t="str">
        <f t="shared" si="30"/>
        <v>P964</v>
      </c>
      <c r="B965" t="s">
        <v>14</v>
      </c>
      <c r="C965" t="s">
        <v>9</v>
      </c>
      <c r="D965">
        <v>73.52</v>
      </c>
      <c r="E965">
        <v>177</v>
      </c>
      <c r="F965">
        <v>4.3</v>
      </c>
      <c r="G965" t="b">
        <v>1</v>
      </c>
      <c r="H965">
        <f>(Table1[[#This Row],[price]]*Table1[[#This Row],[units_sold]])</f>
        <v>13013.039999999999</v>
      </c>
      <c r="I965" t="str">
        <f>IF(Table1[[#This Row],[in_stock]]=TRUE,"Available","Out of stock")</f>
        <v>Available</v>
      </c>
      <c r="J965" t="str">
        <f>IF(Table1[[#This Row],[rating]]&gt;=4,"High",IF(Table1[[#This Row],[rating]]&gt;=2.5,"Medium","Low"))</f>
        <v>High</v>
      </c>
      <c r="K965" t="str">
        <f>IF(Table1[[#This Row],[price]]&lt;200,"Budget",IF(Table1[[#This Row],[price]]&lt;600,"Mid-Range",IF(Table1[[#This Row],[price]]&lt;1000,"Premium","Luxury")))</f>
        <v>Budget</v>
      </c>
      <c r="L965" t="str">
        <f>IF(Table1[[#This Row],[units_sold]]&lt;50,"Very Low",IF(Table1[[#This Row],[units_sold]]&lt;150,"Low",IF(Table1[[#This Row],[units_sold]]&lt;300,"Medium","High")))</f>
        <v>Medium</v>
      </c>
      <c r="M965" t="str">
        <f t="shared" si="31"/>
        <v>Normal</v>
      </c>
      <c r="N965">
        <f>(Table1[[#This Row],[price]]*0.7)</f>
        <v>51.463999999999992</v>
      </c>
    </row>
    <row r="966" spans="1:14" x14ac:dyDescent="0.35">
      <c r="A966" t="str">
        <f t="shared" si="30"/>
        <v>P965</v>
      </c>
      <c r="B966" t="s">
        <v>16</v>
      </c>
      <c r="C966" t="s">
        <v>9</v>
      </c>
      <c r="D966">
        <v>563.4</v>
      </c>
      <c r="E966">
        <v>141</v>
      </c>
      <c r="F966">
        <v>4.3</v>
      </c>
      <c r="G966" t="b">
        <v>1</v>
      </c>
      <c r="H966">
        <f>(Table1[[#This Row],[price]]*Table1[[#This Row],[units_sold]])</f>
        <v>79439.399999999994</v>
      </c>
      <c r="I966" t="str">
        <f>IF(Table1[[#This Row],[in_stock]]=TRUE,"Available","Out of stock")</f>
        <v>Available</v>
      </c>
      <c r="J966" t="str">
        <f>IF(Table1[[#This Row],[rating]]&gt;=4,"High",IF(Table1[[#This Row],[rating]]&gt;=2.5,"Medium","Low"))</f>
        <v>High</v>
      </c>
      <c r="K966" t="str">
        <f>IF(Table1[[#This Row],[price]]&lt;200,"Budget",IF(Table1[[#This Row],[price]]&lt;600,"Mid-Range",IF(Table1[[#This Row],[price]]&lt;1000,"Premium","Luxury")))</f>
        <v>Mid-Range</v>
      </c>
      <c r="L966" t="str">
        <f>IF(Table1[[#This Row],[units_sold]]&lt;50,"Very Low",IF(Table1[[#This Row],[units_sold]]&lt;150,"Low",IF(Table1[[#This Row],[units_sold]]&lt;300,"Medium","High")))</f>
        <v>Low</v>
      </c>
      <c r="M966" t="str">
        <f t="shared" si="31"/>
        <v>Normal</v>
      </c>
      <c r="N966">
        <f>(Table1[[#This Row],[price]]*0.7)</f>
        <v>394.37999999999994</v>
      </c>
    </row>
    <row r="967" spans="1:14" x14ac:dyDescent="0.35">
      <c r="A967" t="str">
        <f t="shared" si="30"/>
        <v>P966</v>
      </c>
      <c r="B967" t="s">
        <v>17</v>
      </c>
      <c r="C967" t="s">
        <v>7</v>
      </c>
      <c r="D967">
        <v>406.12</v>
      </c>
      <c r="E967">
        <v>189</v>
      </c>
      <c r="F967">
        <v>4.4000000000000004</v>
      </c>
      <c r="G967" t="b">
        <v>1</v>
      </c>
      <c r="H967">
        <f>(Table1[[#This Row],[price]]*Table1[[#This Row],[units_sold]])</f>
        <v>76756.680000000008</v>
      </c>
      <c r="I967" t="str">
        <f>IF(Table1[[#This Row],[in_stock]]=TRUE,"Available","Out of stock")</f>
        <v>Available</v>
      </c>
      <c r="J967" t="str">
        <f>IF(Table1[[#This Row],[rating]]&gt;=4,"High",IF(Table1[[#This Row],[rating]]&gt;=2.5,"Medium","Low"))</f>
        <v>High</v>
      </c>
      <c r="K967" t="str">
        <f>IF(Table1[[#This Row],[price]]&lt;200,"Budget",IF(Table1[[#This Row],[price]]&lt;600,"Mid-Range",IF(Table1[[#This Row],[price]]&lt;1000,"Premium","Luxury")))</f>
        <v>Mid-Range</v>
      </c>
      <c r="L967" t="str">
        <f>IF(Table1[[#This Row],[units_sold]]&lt;50,"Very Low",IF(Table1[[#This Row],[units_sold]]&lt;150,"Low",IF(Table1[[#This Row],[units_sold]]&lt;300,"Medium","High")))</f>
        <v>Medium</v>
      </c>
      <c r="M967" t="str">
        <f t="shared" si="31"/>
        <v>Normal</v>
      </c>
      <c r="N967">
        <f>(Table1[[#This Row],[price]]*0.7)</f>
        <v>284.28399999999999</v>
      </c>
    </row>
    <row r="968" spans="1:14" x14ac:dyDescent="0.35">
      <c r="A968" t="str">
        <f t="shared" si="30"/>
        <v>P967</v>
      </c>
      <c r="B968" t="s">
        <v>15</v>
      </c>
      <c r="C968" t="s">
        <v>7</v>
      </c>
      <c r="D968">
        <v>972.67</v>
      </c>
      <c r="E968">
        <v>486</v>
      </c>
      <c r="F968">
        <v>2.9</v>
      </c>
      <c r="G968" t="b">
        <v>1</v>
      </c>
      <c r="H968">
        <f>(Table1[[#This Row],[price]]*Table1[[#This Row],[units_sold]])</f>
        <v>472717.62</v>
      </c>
      <c r="I968" t="str">
        <f>IF(Table1[[#This Row],[in_stock]]=TRUE,"Available","Out of stock")</f>
        <v>Available</v>
      </c>
      <c r="J968" t="str">
        <f>IF(Table1[[#This Row],[rating]]&gt;=4,"High",IF(Table1[[#This Row],[rating]]&gt;=2.5,"Medium","Low"))</f>
        <v>Medium</v>
      </c>
      <c r="K968" t="str">
        <f>IF(Table1[[#This Row],[price]]&lt;200,"Budget",IF(Table1[[#This Row],[price]]&lt;600,"Mid-Range",IF(Table1[[#This Row],[price]]&lt;1000,"Premium","Luxury")))</f>
        <v>Premium</v>
      </c>
      <c r="L968" t="str">
        <f>IF(Table1[[#This Row],[units_sold]]&lt;50,"Very Low",IF(Table1[[#This Row],[units_sold]]&lt;150,"Low",IF(Table1[[#This Row],[units_sold]]&lt;300,"Medium","High")))</f>
        <v>High</v>
      </c>
      <c r="M968" t="str">
        <f t="shared" si="31"/>
        <v>Normal</v>
      </c>
      <c r="N968">
        <f>(Table1[[#This Row],[price]]*0.7)</f>
        <v>680.86899999999991</v>
      </c>
    </row>
    <row r="969" spans="1:14" x14ac:dyDescent="0.35">
      <c r="A969" t="str">
        <f t="shared" si="30"/>
        <v>P968</v>
      </c>
      <c r="B969" t="s">
        <v>11</v>
      </c>
      <c r="C969" t="s">
        <v>9</v>
      </c>
      <c r="D969">
        <v>754.01</v>
      </c>
      <c r="E969">
        <v>49</v>
      </c>
      <c r="F969">
        <v>2.2999999999999998</v>
      </c>
      <c r="G969" t="b">
        <v>1</v>
      </c>
      <c r="H969">
        <f>(Table1[[#This Row],[price]]*Table1[[#This Row],[units_sold]])</f>
        <v>36946.49</v>
      </c>
      <c r="I969" t="str">
        <f>IF(Table1[[#This Row],[in_stock]]=TRUE,"Available","Out of stock")</f>
        <v>Available</v>
      </c>
      <c r="J969" t="str">
        <f>IF(Table1[[#This Row],[rating]]&gt;=4,"High",IF(Table1[[#This Row],[rating]]&gt;=2.5,"Medium","Low"))</f>
        <v>Low</v>
      </c>
      <c r="K969" t="str">
        <f>IF(Table1[[#This Row],[price]]&lt;200,"Budget",IF(Table1[[#This Row],[price]]&lt;600,"Mid-Range",IF(Table1[[#This Row],[price]]&lt;1000,"Premium","Luxury")))</f>
        <v>Premium</v>
      </c>
      <c r="L969" t="str">
        <f>IF(Table1[[#This Row],[units_sold]]&lt;50,"Very Low",IF(Table1[[#This Row],[units_sold]]&lt;150,"Low",IF(Table1[[#This Row],[units_sold]]&lt;300,"Medium","High")))</f>
        <v>Very Low</v>
      </c>
      <c r="M969" t="str">
        <f t="shared" si="31"/>
        <v>Normal</v>
      </c>
      <c r="N969">
        <f>(Table1[[#This Row],[price]]*0.7)</f>
        <v>527.80700000000002</v>
      </c>
    </row>
    <row r="970" spans="1:14" x14ac:dyDescent="0.35">
      <c r="A970" t="str">
        <f t="shared" si="30"/>
        <v>P969</v>
      </c>
      <c r="B970" t="s">
        <v>10</v>
      </c>
      <c r="C970" t="s">
        <v>9</v>
      </c>
      <c r="D970">
        <v>406.37</v>
      </c>
      <c r="E970">
        <v>302</v>
      </c>
      <c r="F970">
        <v>4.2</v>
      </c>
      <c r="G970" t="b">
        <v>1</v>
      </c>
      <c r="H970">
        <f>(Table1[[#This Row],[price]]*Table1[[#This Row],[units_sold]])</f>
        <v>122723.74</v>
      </c>
      <c r="I970" t="str">
        <f>IF(Table1[[#This Row],[in_stock]]=TRUE,"Available","Out of stock")</f>
        <v>Available</v>
      </c>
      <c r="J970" t="str">
        <f>IF(Table1[[#This Row],[rating]]&gt;=4,"High",IF(Table1[[#This Row],[rating]]&gt;=2.5,"Medium","Low"))</f>
        <v>High</v>
      </c>
      <c r="K970" t="str">
        <f>IF(Table1[[#This Row],[price]]&lt;200,"Budget",IF(Table1[[#This Row],[price]]&lt;600,"Mid-Range",IF(Table1[[#This Row],[price]]&lt;1000,"Premium","Luxury")))</f>
        <v>Mid-Range</v>
      </c>
      <c r="L970" t="str">
        <f>IF(Table1[[#This Row],[units_sold]]&lt;50,"Very Low",IF(Table1[[#This Row],[units_sold]]&lt;150,"Low",IF(Table1[[#This Row],[units_sold]]&lt;300,"Medium","High")))</f>
        <v>High</v>
      </c>
      <c r="M970" t="str">
        <f t="shared" si="31"/>
        <v>Normal</v>
      </c>
      <c r="N970">
        <f>(Table1[[#This Row],[price]]*0.7)</f>
        <v>284.459</v>
      </c>
    </row>
    <row r="971" spans="1:14" x14ac:dyDescent="0.35">
      <c r="A971" t="str">
        <f t="shared" si="30"/>
        <v>P970</v>
      </c>
      <c r="B971" t="s">
        <v>12</v>
      </c>
      <c r="C971" t="s">
        <v>7</v>
      </c>
      <c r="D971">
        <v>232.36</v>
      </c>
      <c r="E971">
        <v>369</v>
      </c>
      <c r="F971">
        <v>2.8</v>
      </c>
      <c r="G971" t="b">
        <v>1</v>
      </c>
      <c r="H971">
        <f>(Table1[[#This Row],[price]]*Table1[[#This Row],[units_sold]])</f>
        <v>85740.840000000011</v>
      </c>
      <c r="I971" t="str">
        <f>IF(Table1[[#This Row],[in_stock]]=TRUE,"Available","Out of stock")</f>
        <v>Available</v>
      </c>
      <c r="J971" t="str">
        <f>IF(Table1[[#This Row],[rating]]&gt;=4,"High",IF(Table1[[#This Row],[rating]]&gt;=2.5,"Medium","Low"))</f>
        <v>Medium</v>
      </c>
      <c r="K971" t="str">
        <f>IF(Table1[[#This Row],[price]]&lt;200,"Budget",IF(Table1[[#This Row],[price]]&lt;600,"Mid-Range",IF(Table1[[#This Row],[price]]&lt;1000,"Premium","Luxury")))</f>
        <v>Mid-Range</v>
      </c>
      <c r="L971" t="str">
        <f>IF(Table1[[#This Row],[units_sold]]&lt;50,"Very Low",IF(Table1[[#This Row],[units_sold]]&lt;150,"Low",IF(Table1[[#This Row],[units_sold]]&lt;300,"Medium","High")))</f>
        <v>High</v>
      </c>
      <c r="M971" t="str">
        <f t="shared" si="31"/>
        <v>Normal</v>
      </c>
      <c r="N971">
        <f>(Table1[[#This Row],[price]]*0.7)</f>
        <v>162.65199999999999</v>
      </c>
    </row>
    <row r="972" spans="1:14" x14ac:dyDescent="0.35">
      <c r="A972" t="str">
        <f t="shared" si="30"/>
        <v>P971</v>
      </c>
      <c r="B972" t="s">
        <v>10</v>
      </c>
      <c r="C972" t="s">
        <v>9</v>
      </c>
      <c r="D972">
        <v>199.53</v>
      </c>
      <c r="E972">
        <v>190</v>
      </c>
      <c r="F972">
        <v>1.7</v>
      </c>
      <c r="G972" t="b">
        <v>1</v>
      </c>
      <c r="H972">
        <f>(Table1[[#This Row],[price]]*Table1[[#This Row],[units_sold]])</f>
        <v>37910.699999999997</v>
      </c>
      <c r="I972" t="str">
        <f>IF(Table1[[#This Row],[in_stock]]=TRUE,"Available","Out of stock")</f>
        <v>Available</v>
      </c>
      <c r="J972" t="str">
        <f>IF(Table1[[#This Row],[rating]]&gt;=4,"High",IF(Table1[[#This Row],[rating]]&gt;=2.5,"Medium","Low"))</f>
        <v>Low</v>
      </c>
      <c r="K972" t="str">
        <f>IF(Table1[[#This Row],[price]]&lt;200,"Budget",IF(Table1[[#This Row],[price]]&lt;600,"Mid-Range",IF(Table1[[#This Row],[price]]&lt;1000,"Premium","Luxury")))</f>
        <v>Budget</v>
      </c>
      <c r="L972" t="str">
        <f>IF(Table1[[#This Row],[units_sold]]&lt;50,"Very Low",IF(Table1[[#This Row],[units_sold]]&lt;150,"Low",IF(Table1[[#This Row],[units_sold]]&lt;300,"Medium","High")))</f>
        <v>Medium</v>
      </c>
      <c r="M972" t="str">
        <f t="shared" si="31"/>
        <v>Normal</v>
      </c>
      <c r="N972">
        <f>(Table1[[#This Row],[price]]*0.7)</f>
        <v>139.67099999999999</v>
      </c>
    </row>
    <row r="973" spans="1:14" x14ac:dyDescent="0.35">
      <c r="A973" t="str">
        <f t="shared" si="30"/>
        <v>P972</v>
      </c>
      <c r="B973" t="s">
        <v>16</v>
      </c>
      <c r="C973" t="s">
        <v>9</v>
      </c>
      <c r="D973">
        <v>1298.3399999999999</v>
      </c>
      <c r="E973">
        <v>136</v>
      </c>
      <c r="F973">
        <v>4.4000000000000004</v>
      </c>
      <c r="G973" t="b">
        <v>1</v>
      </c>
      <c r="H973">
        <f>(Table1[[#This Row],[price]]*Table1[[#This Row],[units_sold]])</f>
        <v>176574.24</v>
      </c>
      <c r="I973" t="str">
        <f>IF(Table1[[#This Row],[in_stock]]=TRUE,"Available","Out of stock")</f>
        <v>Available</v>
      </c>
      <c r="J973" t="str">
        <f>IF(Table1[[#This Row],[rating]]&gt;=4,"High",IF(Table1[[#This Row],[rating]]&gt;=2.5,"Medium","Low"))</f>
        <v>High</v>
      </c>
      <c r="K973" t="str">
        <f>IF(Table1[[#This Row],[price]]&lt;200,"Budget",IF(Table1[[#This Row],[price]]&lt;600,"Mid-Range",IF(Table1[[#This Row],[price]]&lt;1000,"Premium","Luxury")))</f>
        <v>Luxury</v>
      </c>
      <c r="L973" t="str">
        <f>IF(Table1[[#This Row],[units_sold]]&lt;50,"Very Low",IF(Table1[[#This Row],[units_sold]]&lt;150,"Low",IF(Table1[[#This Row],[units_sold]]&lt;300,"Medium","High")))</f>
        <v>Low</v>
      </c>
      <c r="M973" t="str">
        <f t="shared" si="31"/>
        <v>Normal</v>
      </c>
      <c r="N973">
        <f>(Table1[[#This Row],[price]]*0.7)</f>
        <v>908.83799999999985</v>
      </c>
    </row>
    <row r="974" spans="1:14" x14ac:dyDescent="0.35">
      <c r="A974" t="str">
        <f t="shared" si="30"/>
        <v>P973</v>
      </c>
      <c r="B974" t="s">
        <v>15</v>
      </c>
      <c r="C974" t="s">
        <v>7</v>
      </c>
      <c r="D974">
        <v>372.78</v>
      </c>
      <c r="E974">
        <v>43</v>
      </c>
      <c r="F974">
        <v>4.5</v>
      </c>
      <c r="G974" t="b">
        <v>1</v>
      </c>
      <c r="H974">
        <f>(Table1[[#This Row],[price]]*Table1[[#This Row],[units_sold]])</f>
        <v>16029.539999999999</v>
      </c>
      <c r="I974" t="str">
        <f>IF(Table1[[#This Row],[in_stock]]=TRUE,"Available","Out of stock")</f>
        <v>Available</v>
      </c>
      <c r="J974" t="str">
        <f>IF(Table1[[#This Row],[rating]]&gt;=4,"High",IF(Table1[[#This Row],[rating]]&gt;=2.5,"Medium","Low"))</f>
        <v>High</v>
      </c>
      <c r="K974" t="str">
        <f>IF(Table1[[#This Row],[price]]&lt;200,"Budget",IF(Table1[[#This Row],[price]]&lt;600,"Mid-Range",IF(Table1[[#This Row],[price]]&lt;1000,"Premium","Luxury")))</f>
        <v>Mid-Range</v>
      </c>
      <c r="L974" t="str">
        <f>IF(Table1[[#This Row],[units_sold]]&lt;50,"Very Low",IF(Table1[[#This Row],[units_sold]]&lt;150,"Low",IF(Table1[[#This Row],[units_sold]]&lt;300,"Medium","High")))</f>
        <v>Very Low</v>
      </c>
      <c r="M974" t="str">
        <f t="shared" si="31"/>
        <v>Normal</v>
      </c>
      <c r="N974">
        <f>(Table1[[#This Row],[price]]*0.7)</f>
        <v>260.94599999999997</v>
      </c>
    </row>
    <row r="975" spans="1:14" x14ac:dyDescent="0.35">
      <c r="A975" t="str">
        <f t="shared" si="30"/>
        <v>P974</v>
      </c>
      <c r="B975" t="s">
        <v>15</v>
      </c>
      <c r="C975" t="s">
        <v>7</v>
      </c>
      <c r="D975">
        <v>981.05</v>
      </c>
      <c r="E975">
        <v>404</v>
      </c>
      <c r="F975">
        <v>2.9</v>
      </c>
      <c r="G975" t="b">
        <v>1</v>
      </c>
      <c r="H975">
        <f>(Table1[[#This Row],[price]]*Table1[[#This Row],[units_sold]])</f>
        <v>396344.19999999995</v>
      </c>
      <c r="I975" t="str">
        <f>IF(Table1[[#This Row],[in_stock]]=TRUE,"Available","Out of stock")</f>
        <v>Available</v>
      </c>
      <c r="J975" t="str">
        <f>IF(Table1[[#This Row],[rating]]&gt;=4,"High",IF(Table1[[#This Row],[rating]]&gt;=2.5,"Medium","Low"))</f>
        <v>Medium</v>
      </c>
      <c r="K975" t="str">
        <f>IF(Table1[[#This Row],[price]]&lt;200,"Budget",IF(Table1[[#This Row],[price]]&lt;600,"Mid-Range",IF(Table1[[#This Row],[price]]&lt;1000,"Premium","Luxury")))</f>
        <v>Premium</v>
      </c>
      <c r="L975" t="str">
        <f>IF(Table1[[#This Row],[units_sold]]&lt;50,"Very Low",IF(Table1[[#This Row],[units_sold]]&lt;150,"Low",IF(Table1[[#This Row],[units_sold]]&lt;300,"Medium","High")))</f>
        <v>High</v>
      </c>
      <c r="M975" t="str">
        <f t="shared" si="31"/>
        <v>Normal</v>
      </c>
      <c r="N975">
        <f>(Table1[[#This Row],[price]]*0.7)</f>
        <v>686.7349999999999</v>
      </c>
    </row>
    <row r="976" spans="1:14" x14ac:dyDescent="0.35">
      <c r="A976" t="str">
        <f t="shared" si="30"/>
        <v>P975</v>
      </c>
      <c r="B976" t="s">
        <v>17</v>
      </c>
      <c r="C976" t="s">
        <v>7</v>
      </c>
      <c r="D976">
        <v>1217.92</v>
      </c>
      <c r="E976">
        <v>380</v>
      </c>
      <c r="F976">
        <v>1.3</v>
      </c>
      <c r="G976" t="b">
        <v>1</v>
      </c>
      <c r="H976">
        <f>(Table1[[#This Row],[price]]*Table1[[#This Row],[units_sold]])</f>
        <v>462809.60000000003</v>
      </c>
      <c r="I976" t="str">
        <f>IF(Table1[[#This Row],[in_stock]]=TRUE,"Available","Out of stock")</f>
        <v>Available</v>
      </c>
      <c r="J976" t="str">
        <f>IF(Table1[[#This Row],[rating]]&gt;=4,"High",IF(Table1[[#This Row],[rating]]&gt;=2.5,"Medium","Low"))</f>
        <v>Low</v>
      </c>
      <c r="K976" t="str">
        <f>IF(Table1[[#This Row],[price]]&lt;200,"Budget",IF(Table1[[#This Row],[price]]&lt;600,"Mid-Range",IF(Table1[[#This Row],[price]]&lt;1000,"Premium","Luxury")))</f>
        <v>Luxury</v>
      </c>
      <c r="L976" t="str">
        <f>IF(Table1[[#This Row],[units_sold]]&lt;50,"Very Low",IF(Table1[[#This Row],[units_sold]]&lt;150,"Low",IF(Table1[[#This Row],[units_sold]]&lt;300,"Medium","High")))</f>
        <v>High</v>
      </c>
      <c r="M976" t="str">
        <f t="shared" si="31"/>
        <v>Normal</v>
      </c>
      <c r="N976">
        <f>(Table1[[#This Row],[price]]*0.7)</f>
        <v>852.54399999999998</v>
      </c>
    </row>
    <row r="977" spans="1:14" x14ac:dyDescent="0.35">
      <c r="A977" t="str">
        <f t="shared" si="30"/>
        <v>P976</v>
      </c>
      <c r="B977" t="s">
        <v>6</v>
      </c>
      <c r="C977" t="s">
        <v>7</v>
      </c>
      <c r="D977">
        <v>924.98</v>
      </c>
      <c r="E977">
        <v>353</v>
      </c>
      <c r="F977">
        <v>2.6</v>
      </c>
      <c r="G977" t="b">
        <v>0</v>
      </c>
      <c r="H977">
        <f>(Table1[[#This Row],[price]]*Table1[[#This Row],[units_sold]])</f>
        <v>326517.94</v>
      </c>
      <c r="I977" t="str">
        <f>IF(Table1[[#This Row],[in_stock]]=TRUE,"Available","Out of stock")</f>
        <v>Out of stock</v>
      </c>
      <c r="J977" t="str">
        <f>IF(Table1[[#This Row],[rating]]&gt;=4,"High",IF(Table1[[#This Row],[rating]]&gt;=2.5,"Medium","Low"))</f>
        <v>Medium</v>
      </c>
      <c r="K977" t="str">
        <f>IF(Table1[[#This Row],[price]]&lt;200,"Budget",IF(Table1[[#This Row],[price]]&lt;600,"Mid-Range",IF(Table1[[#This Row],[price]]&lt;1000,"Premium","Luxury")))</f>
        <v>Premium</v>
      </c>
      <c r="L977" t="str">
        <f>IF(Table1[[#This Row],[units_sold]]&lt;50,"Very Low",IF(Table1[[#This Row],[units_sold]]&lt;150,"Low",IF(Table1[[#This Row],[units_sold]]&lt;300,"Medium","High")))</f>
        <v>High</v>
      </c>
      <c r="M977" t="str">
        <f t="shared" si="31"/>
        <v>High Demand - Out of Stock</v>
      </c>
      <c r="N977">
        <f>(Table1[[#This Row],[price]]*0.7)</f>
        <v>647.48599999999999</v>
      </c>
    </row>
    <row r="978" spans="1:14" x14ac:dyDescent="0.35">
      <c r="A978" t="str">
        <f t="shared" si="30"/>
        <v>P977</v>
      </c>
      <c r="B978" t="s">
        <v>17</v>
      </c>
      <c r="C978" t="s">
        <v>7</v>
      </c>
      <c r="D978">
        <v>1290.75</v>
      </c>
      <c r="E978">
        <v>90</v>
      </c>
      <c r="F978">
        <v>4.2</v>
      </c>
      <c r="G978" t="b">
        <v>1</v>
      </c>
      <c r="H978">
        <f>(Table1[[#This Row],[price]]*Table1[[#This Row],[units_sold]])</f>
        <v>116167.5</v>
      </c>
      <c r="I978" t="str">
        <f>IF(Table1[[#This Row],[in_stock]]=TRUE,"Available","Out of stock")</f>
        <v>Available</v>
      </c>
      <c r="J978" t="str">
        <f>IF(Table1[[#This Row],[rating]]&gt;=4,"High",IF(Table1[[#This Row],[rating]]&gt;=2.5,"Medium","Low"))</f>
        <v>High</v>
      </c>
      <c r="K978" t="str">
        <f>IF(Table1[[#This Row],[price]]&lt;200,"Budget",IF(Table1[[#This Row],[price]]&lt;600,"Mid-Range",IF(Table1[[#This Row],[price]]&lt;1000,"Premium","Luxury")))</f>
        <v>Luxury</v>
      </c>
      <c r="L978" t="str">
        <f>IF(Table1[[#This Row],[units_sold]]&lt;50,"Very Low",IF(Table1[[#This Row],[units_sold]]&lt;150,"Low",IF(Table1[[#This Row],[units_sold]]&lt;300,"Medium","High")))</f>
        <v>Low</v>
      </c>
      <c r="M978" t="str">
        <f t="shared" si="31"/>
        <v>Normal</v>
      </c>
      <c r="N978">
        <f>(Table1[[#This Row],[price]]*0.7)</f>
        <v>903.52499999999998</v>
      </c>
    </row>
    <row r="979" spans="1:14" x14ac:dyDescent="0.35">
      <c r="A979" t="str">
        <f t="shared" si="30"/>
        <v>P978</v>
      </c>
      <c r="B979" t="s">
        <v>6</v>
      </c>
      <c r="C979" t="s">
        <v>7</v>
      </c>
      <c r="D979">
        <v>594.66999999999996</v>
      </c>
      <c r="E979">
        <v>295</v>
      </c>
      <c r="F979">
        <v>4.5999999999999996</v>
      </c>
      <c r="G979" t="b">
        <v>1</v>
      </c>
      <c r="H979">
        <f>(Table1[[#This Row],[price]]*Table1[[#This Row],[units_sold]])</f>
        <v>175427.65</v>
      </c>
      <c r="I979" t="str">
        <f>IF(Table1[[#This Row],[in_stock]]=TRUE,"Available","Out of stock")</f>
        <v>Available</v>
      </c>
      <c r="J979" t="str">
        <f>IF(Table1[[#This Row],[rating]]&gt;=4,"High",IF(Table1[[#This Row],[rating]]&gt;=2.5,"Medium","Low"))</f>
        <v>High</v>
      </c>
      <c r="K979" t="str">
        <f>IF(Table1[[#This Row],[price]]&lt;200,"Budget",IF(Table1[[#This Row],[price]]&lt;600,"Mid-Range",IF(Table1[[#This Row],[price]]&lt;1000,"Premium","Luxury")))</f>
        <v>Mid-Range</v>
      </c>
      <c r="L979" t="str">
        <f>IF(Table1[[#This Row],[units_sold]]&lt;50,"Very Low",IF(Table1[[#This Row],[units_sold]]&lt;150,"Low",IF(Table1[[#This Row],[units_sold]]&lt;300,"Medium","High")))</f>
        <v>Medium</v>
      </c>
      <c r="M979" t="str">
        <f t="shared" si="31"/>
        <v>Normal</v>
      </c>
      <c r="N979">
        <f>(Table1[[#This Row],[price]]*0.7)</f>
        <v>416.26899999999995</v>
      </c>
    </row>
    <row r="980" spans="1:14" x14ac:dyDescent="0.35">
      <c r="A980" t="str">
        <f t="shared" si="30"/>
        <v>P979</v>
      </c>
      <c r="B980" t="s">
        <v>6</v>
      </c>
      <c r="C980" t="s">
        <v>7</v>
      </c>
      <c r="D980">
        <v>1434.77</v>
      </c>
      <c r="E980">
        <v>341</v>
      </c>
      <c r="F980">
        <v>1.8</v>
      </c>
      <c r="G980" t="b">
        <v>0</v>
      </c>
      <c r="H980">
        <f>(Table1[[#This Row],[price]]*Table1[[#This Row],[units_sold]])</f>
        <v>489256.57</v>
      </c>
      <c r="I980" t="str">
        <f>IF(Table1[[#This Row],[in_stock]]=TRUE,"Available","Out of stock")</f>
        <v>Out of stock</v>
      </c>
      <c r="J980" t="str">
        <f>IF(Table1[[#This Row],[rating]]&gt;=4,"High",IF(Table1[[#This Row],[rating]]&gt;=2.5,"Medium","Low"))</f>
        <v>Low</v>
      </c>
      <c r="K980" t="str">
        <f>IF(Table1[[#This Row],[price]]&lt;200,"Budget",IF(Table1[[#This Row],[price]]&lt;600,"Mid-Range",IF(Table1[[#This Row],[price]]&lt;1000,"Premium","Luxury")))</f>
        <v>Luxury</v>
      </c>
      <c r="L980" t="str">
        <f>IF(Table1[[#This Row],[units_sold]]&lt;50,"Very Low",IF(Table1[[#This Row],[units_sold]]&lt;150,"Low",IF(Table1[[#This Row],[units_sold]]&lt;300,"Medium","High")))</f>
        <v>High</v>
      </c>
      <c r="M980" t="str">
        <f t="shared" si="31"/>
        <v>High Demand - Out of Stock</v>
      </c>
      <c r="N980">
        <f>(Table1[[#This Row],[price]]*0.7)</f>
        <v>1004.3389999999999</v>
      </c>
    </row>
    <row r="981" spans="1:14" x14ac:dyDescent="0.35">
      <c r="A981" t="str">
        <f t="shared" si="30"/>
        <v>P980</v>
      </c>
      <c r="B981" t="s">
        <v>12</v>
      </c>
      <c r="C981" t="s">
        <v>7</v>
      </c>
      <c r="D981">
        <v>208.39</v>
      </c>
      <c r="E981">
        <v>245</v>
      </c>
      <c r="F981">
        <v>1.3</v>
      </c>
      <c r="G981" t="b">
        <v>1</v>
      </c>
      <c r="H981">
        <f>(Table1[[#This Row],[price]]*Table1[[#This Row],[units_sold]])</f>
        <v>51055.549999999996</v>
      </c>
      <c r="I981" t="str">
        <f>IF(Table1[[#This Row],[in_stock]]=TRUE,"Available","Out of stock")</f>
        <v>Available</v>
      </c>
      <c r="J981" t="str">
        <f>IF(Table1[[#This Row],[rating]]&gt;=4,"High",IF(Table1[[#This Row],[rating]]&gt;=2.5,"Medium","Low"))</f>
        <v>Low</v>
      </c>
      <c r="K981" t="str">
        <f>IF(Table1[[#This Row],[price]]&lt;200,"Budget",IF(Table1[[#This Row],[price]]&lt;600,"Mid-Range",IF(Table1[[#This Row],[price]]&lt;1000,"Premium","Luxury")))</f>
        <v>Mid-Range</v>
      </c>
      <c r="L981" t="str">
        <f>IF(Table1[[#This Row],[units_sold]]&lt;50,"Very Low",IF(Table1[[#This Row],[units_sold]]&lt;150,"Low",IF(Table1[[#This Row],[units_sold]]&lt;300,"Medium","High")))</f>
        <v>Medium</v>
      </c>
      <c r="M981" t="str">
        <f t="shared" si="31"/>
        <v>Normal</v>
      </c>
      <c r="N981">
        <f>(Table1[[#This Row],[price]]*0.7)</f>
        <v>145.87299999999999</v>
      </c>
    </row>
    <row r="982" spans="1:14" x14ac:dyDescent="0.35">
      <c r="A982" t="str">
        <f t="shared" si="30"/>
        <v>P981</v>
      </c>
      <c r="B982" t="s">
        <v>17</v>
      </c>
      <c r="C982" t="s">
        <v>7</v>
      </c>
      <c r="D982">
        <v>162.19999999999999</v>
      </c>
      <c r="E982">
        <v>433</v>
      </c>
      <c r="F982">
        <v>4.5</v>
      </c>
      <c r="G982" t="b">
        <v>1</v>
      </c>
      <c r="H982">
        <f>(Table1[[#This Row],[price]]*Table1[[#This Row],[units_sold]])</f>
        <v>70232.599999999991</v>
      </c>
      <c r="I982" t="str">
        <f>IF(Table1[[#This Row],[in_stock]]=TRUE,"Available","Out of stock")</f>
        <v>Available</v>
      </c>
      <c r="J982" t="str">
        <f>IF(Table1[[#This Row],[rating]]&gt;=4,"High",IF(Table1[[#This Row],[rating]]&gt;=2.5,"Medium","Low"))</f>
        <v>High</v>
      </c>
      <c r="K982" t="str">
        <f>IF(Table1[[#This Row],[price]]&lt;200,"Budget",IF(Table1[[#This Row],[price]]&lt;600,"Mid-Range",IF(Table1[[#This Row],[price]]&lt;1000,"Premium","Luxury")))</f>
        <v>Budget</v>
      </c>
      <c r="L982" t="str">
        <f>IF(Table1[[#This Row],[units_sold]]&lt;50,"Very Low",IF(Table1[[#This Row],[units_sold]]&lt;150,"Low",IF(Table1[[#This Row],[units_sold]]&lt;300,"Medium","High")))</f>
        <v>High</v>
      </c>
      <c r="M982" t="str">
        <f t="shared" si="31"/>
        <v>Normal</v>
      </c>
      <c r="N982">
        <f>(Table1[[#This Row],[price]]*0.7)</f>
        <v>113.53999999999998</v>
      </c>
    </row>
    <row r="983" spans="1:14" x14ac:dyDescent="0.35">
      <c r="A983" t="str">
        <f t="shared" si="30"/>
        <v>P982</v>
      </c>
      <c r="B983" t="s">
        <v>11</v>
      </c>
      <c r="C983" t="s">
        <v>9</v>
      </c>
      <c r="D983">
        <v>991.45</v>
      </c>
      <c r="E983">
        <v>192</v>
      </c>
      <c r="F983">
        <v>2.6</v>
      </c>
      <c r="G983" t="b">
        <v>1</v>
      </c>
      <c r="H983">
        <f>(Table1[[#This Row],[price]]*Table1[[#This Row],[units_sold]])</f>
        <v>190358.40000000002</v>
      </c>
      <c r="I983" t="str">
        <f>IF(Table1[[#This Row],[in_stock]]=TRUE,"Available","Out of stock")</f>
        <v>Available</v>
      </c>
      <c r="J983" t="str">
        <f>IF(Table1[[#This Row],[rating]]&gt;=4,"High",IF(Table1[[#This Row],[rating]]&gt;=2.5,"Medium","Low"))</f>
        <v>Medium</v>
      </c>
      <c r="K983" t="str">
        <f>IF(Table1[[#This Row],[price]]&lt;200,"Budget",IF(Table1[[#This Row],[price]]&lt;600,"Mid-Range",IF(Table1[[#This Row],[price]]&lt;1000,"Premium","Luxury")))</f>
        <v>Premium</v>
      </c>
      <c r="L983" t="str">
        <f>IF(Table1[[#This Row],[units_sold]]&lt;50,"Very Low",IF(Table1[[#This Row],[units_sold]]&lt;150,"Low",IF(Table1[[#This Row],[units_sold]]&lt;300,"Medium","High")))</f>
        <v>Medium</v>
      </c>
      <c r="M983" t="str">
        <f t="shared" si="31"/>
        <v>Normal</v>
      </c>
      <c r="N983">
        <f>(Table1[[#This Row],[price]]*0.7)</f>
        <v>694.01499999999999</v>
      </c>
    </row>
    <row r="984" spans="1:14" x14ac:dyDescent="0.35">
      <c r="A984" t="str">
        <f t="shared" si="30"/>
        <v>P983</v>
      </c>
      <c r="B984" t="s">
        <v>13</v>
      </c>
      <c r="C984" t="s">
        <v>9</v>
      </c>
      <c r="D984">
        <v>1414.82</v>
      </c>
      <c r="E984">
        <v>318</v>
      </c>
      <c r="F984">
        <v>3.2</v>
      </c>
      <c r="G984" t="b">
        <v>0</v>
      </c>
      <c r="H984">
        <f>(Table1[[#This Row],[price]]*Table1[[#This Row],[units_sold]])</f>
        <v>449912.75999999995</v>
      </c>
      <c r="I984" t="str">
        <f>IF(Table1[[#This Row],[in_stock]]=TRUE,"Available","Out of stock")</f>
        <v>Out of stock</v>
      </c>
      <c r="J984" t="str">
        <f>IF(Table1[[#This Row],[rating]]&gt;=4,"High",IF(Table1[[#This Row],[rating]]&gt;=2.5,"Medium","Low"))</f>
        <v>Medium</v>
      </c>
      <c r="K984" t="str">
        <f>IF(Table1[[#This Row],[price]]&lt;200,"Budget",IF(Table1[[#This Row],[price]]&lt;600,"Mid-Range",IF(Table1[[#This Row],[price]]&lt;1000,"Premium","Luxury")))</f>
        <v>Luxury</v>
      </c>
      <c r="L984" t="str">
        <f>IF(Table1[[#This Row],[units_sold]]&lt;50,"Very Low",IF(Table1[[#This Row],[units_sold]]&lt;150,"Low",IF(Table1[[#This Row],[units_sold]]&lt;300,"Medium","High")))</f>
        <v>High</v>
      </c>
      <c r="M984" t="str">
        <f t="shared" si="31"/>
        <v>High Demand - Out of Stock</v>
      </c>
      <c r="N984">
        <f>(Table1[[#This Row],[price]]*0.7)</f>
        <v>990.37399999999991</v>
      </c>
    </row>
    <row r="985" spans="1:14" x14ac:dyDescent="0.35">
      <c r="A985" t="str">
        <f t="shared" si="30"/>
        <v>P984</v>
      </c>
      <c r="B985" t="s">
        <v>13</v>
      </c>
      <c r="C985" t="s">
        <v>9</v>
      </c>
      <c r="D985">
        <v>1215.24</v>
      </c>
      <c r="E985">
        <v>106</v>
      </c>
      <c r="F985">
        <v>4.9000000000000004</v>
      </c>
      <c r="G985" t="b">
        <v>1</v>
      </c>
      <c r="H985">
        <f>(Table1[[#This Row],[price]]*Table1[[#This Row],[units_sold]])</f>
        <v>128815.44</v>
      </c>
      <c r="I985" t="str">
        <f>IF(Table1[[#This Row],[in_stock]]=TRUE,"Available","Out of stock")</f>
        <v>Available</v>
      </c>
      <c r="J985" t="str">
        <f>IF(Table1[[#This Row],[rating]]&gt;=4,"High",IF(Table1[[#This Row],[rating]]&gt;=2.5,"Medium","Low"))</f>
        <v>High</v>
      </c>
      <c r="K985" t="str">
        <f>IF(Table1[[#This Row],[price]]&lt;200,"Budget",IF(Table1[[#This Row],[price]]&lt;600,"Mid-Range",IF(Table1[[#This Row],[price]]&lt;1000,"Premium","Luxury")))</f>
        <v>Luxury</v>
      </c>
      <c r="L985" t="str">
        <f>IF(Table1[[#This Row],[units_sold]]&lt;50,"Very Low",IF(Table1[[#This Row],[units_sold]]&lt;150,"Low",IF(Table1[[#This Row],[units_sold]]&lt;300,"Medium","High")))</f>
        <v>Low</v>
      </c>
      <c r="M985" t="str">
        <f t="shared" si="31"/>
        <v>Normal</v>
      </c>
      <c r="N985">
        <f>(Table1[[#This Row],[price]]*0.7)</f>
        <v>850.66800000000001</v>
      </c>
    </row>
    <row r="986" spans="1:14" x14ac:dyDescent="0.35">
      <c r="A986" t="str">
        <f t="shared" si="30"/>
        <v>P985</v>
      </c>
      <c r="B986" t="s">
        <v>17</v>
      </c>
      <c r="C986" t="s">
        <v>7</v>
      </c>
      <c r="D986">
        <v>123.86</v>
      </c>
      <c r="E986">
        <v>363</v>
      </c>
      <c r="F986">
        <v>1.3</v>
      </c>
      <c r="G986" t="b">
        <v>1</v>
      </c>
      <c r="H986">
        <f>(Table1[[#This Row],[price]]*Table1[[#This Row],[units_sold]])</f>
        <v>44961.18</v>
      </c>
      <c r="I986" t="str">
        <f>IF(Table1[[#This Row],[in_stock]]=TRUE,"Available","Out of stock")</f>
        <v>Available</v>
      </c>
      <c r="J986" t="str">
        <f>IF(Table1[[#This Row],[rating]]&gt;=4,"High",IF(Table1[[#This Row],[rating]]&gt;=2.5,"Medium","Low"))</f>
        <v>Low</v>
      </c>
      <c r="K986" t="str">
        <f>IF(Table1[[#This Row],[price]]&lt;200,"Budget",IF(Table1[[#This Row],[price]]&lt;600,"Mid-Range",IF(Table1[[#This Row],[price]]&lt;1000,"Premium","Luxury")))</f>
        <v>Budget</v>
      </c>
      <c r="L986" t="str">
        <f>IF(Table1[[#This Row],[units_sold]]&lt;50,"Very Low",IF(Table1[[#This Row],[units_sold]]&lt;150,"Low",IF(Table1[[#This Row],[units_sold]]&lt;300,"Medium","High")))</f>
        <v>High</v>
      </c>
      <c r="M986" t="str">
        <f t="shared" si="31"/>
        <v>Normal</v>
      </c>
      <c r="N986">
        <f>(Table1[[#This Row],[price]]*0.7)</f>
        <v>86.701999999999998</v>
      </c>
    </row>
    <row r="987" spans="1:14" x14ac:dyDescent="0.35">
      <c r="A987" t="str">
        <f t="shared" si="30"/>
        <v>P986</v>
      </c>
      <c r="B987" t="s">
        <v>17</v>
      </c>
      <c r="C987" t="s">
        <v>7</v>
      </c>
      <c r="D987">
        <v>426.26</v>
      </c>
      <c r="E987">
        <v>310</v>
      </c>
      <c r="F987">
        <v>3.6</v>
      </c>
      <c r="G987" t="b">
        <v>1</v>
      </c>
      <c r="H987">
        <f>(Table1[[#This Row],[price]]*Table1[[#This Row],[units_sold]])</f>
        <v>132140.6</v>
      </c>
      <c r="I987" t="str">
        <f>IF(Table1[[#This Row],[in_stock]]=TRUE,"Available","Out of stock")</f>
        <v>Available</v>
      </c>
      <c r="J987" t="str">
        <f>IF(Table1[[#This Row],[rating]]&gt;=4,"High",IF(Table1[[#This Row],[rating]]&gt;=2.5,"Medium","Low"))</f>
        <v>Medium</v>
      </c>
      <c r="K987" t="str">
        <f>IF(Table1[[#This Row],[price]]&lt;200,"Budget",IF(Table1[[#This Row],[price]]&lt;600,"Mid-Range",IF(Table1[[#This Row],[price]]&lt;1000,"Premium","Luxury")))</f>
        <v>Mid-Range</v>
      </c>
      <c r="L987" t="str">
        <f>IF(Table1[[#This Row],[units_sold]]&lt;50,"Very Low",IF(Table1[[#This Row],[units_sold]]&lt;150,"Low",IF(Table1[[#This Row],[units_sold]]&lt;300,"Medium","High")))</f>
        <v>High</v>
      </c>
      <c r="M987" t="str">
        <f t="shared" si="31"/>
        <v>Normal</v>
      </c>
      <c r="N987">
        <f>(Table1[[#This Row],[price]]*0.7)</f>
        <v>298.38199999999995</v>
      </c>
    </row>
    <row r="988" spans="1:14" x14ac:dyDescent="0.35">
      <c r="A988" t="str">
        <f t="shared" si="30"/>
        <v>P987</v>
      </c>
      <c r="B988" t="s">
        <v>10</v>
      </c>
      <c r="C988" t="s">
        <v>9</v>
      </c>
      <c r="D988">
        <v>1396.18</v>
      </c>
      <c r="E988">
        <v>382</v>
      </c>
      <c r="F988">
        <v>1.3</v>
      </c>
      <c r="G988" t="b">
        <v>1</v>
      </c>
      <c r="H988">
        <f>(Table1[[#This Row],[price]]*Table1[[#This Row],[units_sold]])</f>
        <v>533340.76</v>
      </c>
      <c r="I988" t="str">
        <f>IF(Table1[[#This Row],[in_stock]]=TRUE,"Available","Out of stock")</f>
        <v>Available</v>
      </c>
      <c r="J988" t="str">
        <f>IF(Table1[[#This Row],[rating]]&gt;=4,"High",IF(Table1[[#This Row],[rating]]&gt;=2.5,"Medium","Low"))</f>
        <v>Low</v>
      </c>
      <c r="K988" t="str">
        <f>IF(Table1[[#This Row],[price]]&lt;200,"Budget",IF(Table1[[#This Row],[price]]&lt;600,"Mid-Range",IF(Table1[[#This Row],[price]]&lt;1000,"Premium","Luxury")))</f>
        <v>Luxury</v>
      </c>
      <c r="L988" t="str">
        <f>IF(Table1[[#This Row],[units_sold]]&lt;50,"Very Low",IF(Table1[[#This Row],[units_sold]]&lt;150,"Low",IF(Table1[[#This Row],[units_sold]]&lt;300,"Medium","High")))</f>
        <v>High</v>
      </c>
      <c r="M988" t="str">
        <f t="shared" si="31"/>
        <v>Normal</v>
      </c>
      <c r="N988">
        <f>(Table1[[#This Row],[price]]*0.7)</f>
        <v>977.32600000000002</v>
      </c>
    </row>
    <row r="989" spans="1:14" x14ac:dyDescent="0.35">
      <c r="A989" t="str">
        <f t="shared" si="30"/>
        <v>P988</v>
      </c>
      <c r="B989" t="s">
        <v>12</v>
      </c>
      <c r="C989" t="s">
        <v>7</v>
      </c>
      <c r="D989">
        <v>387.06</v>
      </c>
      <c r="E989">
        <v>233</v>
      </c>
      <c r="F989">
        <v>2.5</v>
      </c>
      <c r="G989" t="b">
        <v>1</v>
      </c>
      <c r="H989">
        <f>(Table1[[#This Row],[price]]*Table1[[#This Row],[units_sold]])</f>
        <v>90184.98</v>
      </c>
      <c r="I989" t="str">
        <f>IF(Table1[[#This Row],[in_stock]]=TRUE,"Available","Out of stock")</f>
        <v>Available</v>
      </c>
      <c r="J989" t="str">
        <f>IF(Table1[[#This Row],[rating]]&gt;=4,"High",IF(Table1[[#This Row],[rating]]&gt;=2.5,"Medium","Low"))</f>
        <v>Medium</v>
      </c>
      <c r="K989" t="str">
        <f>IF(Table1[[#This Row],[price]]&lt;200,"Budget",IF(Table1[[#This Row],[price]]&lt;600,"Mid-Range",IF(Table1[[#This Row],[price]]&lt;1000,"Premium","Luxury")))</f>
        <v>Mid-Range</v>
      </c>
      <c r="L989" t="str">
        <f>IF(Table1[[#This Row],[units_sold]]&lt;50,"Very Low",IF(Table1[[#This Row],[units_sold]]&lt;150,"Low",IF(Table1[[#This Row],[units_sold]]&lt;300,"Medium","High")))</f>
        <v>Medium</v>
      </c>
      <c r="M989" t="str">
        <f t="shared" si="31"/>
        <v>Normal</v>
      </c>
      <c r="N989">
        <f>(Table1[[#This Row],[price]]*0.7)</f>
        <v>270.94200000000001</v>
      </c>
    </row>
    <row r="990" spans="1:14" x14ac:dyDescent="0.35">
      <c r="A990" t="str">
        <f t="shared" si="30"/>
        <v>P989</v>
      </c>
      <c r="B990" t="s">
        <v>17</v>
      </c>
      <c r="C990" t="s">
        <v>7</v>
      </c>
      <c r="D990">
        <v>1173.94</v>
      </c>
      <c r="E990">
        <v>265</v>
      </c>
      <c r="F990">
        <v>4.2</v>
      </c>
      <c r="G990" t="b">
        <v>1</v>
      </c>
      <c r="H990">
        <f>(Table1[[#This Row],[price]]*Table1[[#This Row],[units_sold]])</f>
        <v>311094.10000000003</v>
      </c>
      <c r="I990" t="str">
        <f>IF(Table1[[#This Row],[in_stock]]=TRUE,"Available","Out of stock")</f>
        <v>Available</v>
      </c>
      <c r="J990" t="str">
        <f>IF(Table1[[#This Row],[rating]]&gt;=4,"High",IF(Table1[[#This Row],[rating]]&gt;=2.5,"Medium","Low"))</f>
        <v>High</v>
      </c>
      <c r="K990" t="str">
        <f>IF(Table1[[#This Row],[price]]&lt;200,"Budget",IF(Table1[[#This Row],[price]]&lt;600,"Mid-Range",IF(Table1[[#This Row],[price]]&lt;1000,"Premium","Luxury")))</f>
        <v>Luxury</v>
      </c>
      <c r="L990" t="str">
        <f>IF(Table1[[#This Row],[units_sold]]&lt;50,"Very Low",IF(Table1[[#This Row],[units_sold]]&lt;150,"Low",IF(Table1[[#This Row],[units_sold]]&lt;300,"Medium","High")))</f>
        <v>Medium</v>
      </c>
      <c r="M990" t="str">
        <f t="shared" si="31"/>
        <v>Normal</v>
      </c>
      <c r="N990">
        <f>(Table1[[#This Row],[price]]*0.7)</f>
        <v>821.75800000000004</v>
      </c>
    </row>
    <row r="991" spans="1:14" x14ac:dyDescent="0.35">
      <c r="A991" t="str">
        <f t="shared" si="30"/>
        <v>P990</v>
      </c>
      <c r="B991" t="s">
        <v>10</v>
      </c>
      <c r="C991" t="s">
        <v>9</v>
      </c>
      <c r="D991">
        <v>1239.45</v>
      </c>
      <c r="E991">
        <v>344</v>
      </c>
      <c r="F991">
        <v>2.7</v>
      </c>
      <c r="G991" t="b">
        <v>1</v>
      </c>
      <c r="H991">
        <f>(Table1[[#This Row],[price]]*Table1[[#This Row],[units_sold]])</f>
        <v>426370.8</v>
      </c>
      <c r="I991" t="str">
        <f>IF(Table1[[#This Row],[in_stock]]=TRUE,"Available","Out of stock")</f>
        <v>Available</v>
      </c>
      <c r="J991" t="str">
        <f>IF(Table1[[#This Row],[rating]]&gt;=4,"High",IF(Table1[[#This Row],[rating]]&gt;=2.5,"Medium","Low"))</f>
        <v>Medium</v>
      </c>
      <c r="K991" t="str">
        <f>IF(Table1[[#This Row],[price]]&lt;200,"Budget",IF(Table1[[#This Row],[price]]&lt;600,"Mid-Range",IF(Table1[[#This Row],[price]]&lt;1000,"Premium","Luxury")))</f>
        <v>Luxury</v>
      </c>
      <c r="L991" t="str">
        <f>IF(Table1[[#This Row],[units_sold]]&lt;50,"Very Low",IF(Table1[[#This Row],[units_sold]]&lt;150,"Low",IF(Table1[[#This Row],[units_sold]]&lt;300,"Medium","High")))</f>
        <v>High</v>
      </c>
      <c r="M991" t="str">
        <f t="shared" si="31"/>
        <v>Normal</v>
      </c>
      <c r="N991">
        <f>(Table1[[#This Row],[price]]*0.7)</f>
        <v>867.61500000000001</v>
      </c>
    </row>
    <row r="992" spans="1:14" x14ac:dyDescent="0.35">
      <c r="A992" t="str">
        <f t="shared" si="30"/>
        <v>P991</v>
      </c>
      <c r="B992" t="s">
        <v>6</v>
      </c>
      <c r="C992" t="s">
        <v>7</v>
      </c>
      <c r="D992">
        <v>748.22</v>
      </c>
      <c r="E992">
        <v>37</v>
      </c>
      <c r="F992">
        <v>5</v>
      </c>
      <c r="G992" t="b">
        <v>0</v>
      </c>
      <c r="H992">
        <f>(Table1[[#This Row],[price]]*Table1[[#This Row],[units_sold]])</f>
        <v>27684.14</v>
      </c>
      <c r="I992" t="str">
        <f>IF(Table1[[#This Row],[in_stock]]=TRUE,"Available","Out of stock")</f>
        <v>Out of stock</v>
      </c>
      <c r="J992" t="str">
        <f>IF(Table1[[#This Row],[rating]]&gt;=4,"High",IF(Table1[[#This Row],[rating]]&gt;=2.5,"Medium","Low"))</f>
        <v>High</v>
      </c>
      <c r="K992" t="str">
        <f>IF(Table1[[#This Row],[price]]&lt;200,"Budget",IF(Table1[[#This Row],[price]]&lt;600,"Mid-Range",IF(Table1[[#This Row],[price]]&lt;1000,"Premium","Luxury")))</f>
        <v>Premium</v>
      </c>
      <c r="L992" t="str">
        <f>IF(Table1[[#This Row],[units_sold]]&lt;50,"Very Low",IF(Table1[[#This Row],[units_sold]]&lt;150,"Low",IF(Table1[[#This Row],[units_sold]]&lt;300,"Medium","High")))</f>
        <v>Very Low</v>
      </c>
      <c r="M992" t="str">
        <f t="shared" si="31"/>
        <v>Normal</v>
      </c>
      <c r="N992">
        <f>(Table1[[#This Row],[price]]*0.7)</f>
        <v>523.75400000000002</v>
      </c>
    </row>
    <row r="993" spans="1:14" x14ac:dyDescent="0.35">
      <c r="A993" t="str">
        <f t="shared" si="30"/>
        <v>P992</v>
      </c>
      <c r="B993" t="s">
        <v>15</v>
      </c>
      <c r="C993" t="s">
        <v>7</v>
      </c>
      <c r="D993">
        <v>585.66</v>
      </c>
      <c r="E993">
        <v>305</v>
      </c>
      <c r="F993">
        <v>3.2</v>
      </c>
      <c r="G993" t="b">
        <v>1</v>
      </c>
      <c r="H993">
        <f>(Table1[[#This Row],[price]]*Table1[[#This Row],[units_sold]])</f>
        <v>178626.3</v>
      </c>
      <c r="I993" t="str">
        <f>IF(Table1[[#This Row],[in_stock]]=TRUE,"Available","Out of stock")</f>
        <v>Available</v>
      </c>
      <c r="J993" t="str">
        <f>IF(Table1[[#This Row],[rating]]&gt;=4,"High",IF(Table1[[#This Row],[rating]]&gt;=2.5,"Medium","Low"))</f>
        <v>Medium</v>
      </c>
      <c r="K993" t="str">
        <f>IF(Table1[[#This Row],[price]]&lt;200,"Budget",IF(Table1[[#This Row],[price]]&lt;600,"Mid-Range",IF(Table1[[#This Row],[price]]&lt;1000,"Premium","Luxury")))</f>
        <v>Mid-Range</v>
      </c>
      <c r="L993" t="str">
        <f>IF(Table1[[#This Row],[units_sold]]&lt;50,"Very Low",IF(Table1[[#This Row],[units_sold]]&lt;150,"Low",IF(Table1[[#This Row],[units_sold]]&lt;300,"Medium","High")))</f>
        <v>High</v>
      </c>
      <c r="M993" t="str">
        <f t="shared" si="31"/>
        <v>Normal</v>
      </c>
      <c r="N993">
        <f>(Table1[[#This Row],[price]]*0.7)</f>
        <v>409.96199999999993</v>
      </c>
    </row>
    <row r="994" spans="1:14" x14ac:dyDescent="0.35">
      <c r="A994" t="str">
        <f t="shared" si="30"/>
        <v>P993</v>
      </c>
      <c r="B994" t="s">
        <v>15</v>
      </c>
      <c r="C994" t="s">
        <v>7</v>
      </c>
      <c r="D994">
        <v>680.69</v>
      </c>
      <c r="E994">
        <v>41</v>
      </c>
      <c r="F994">
        <v>2.2999999999999998</v>
      </c>
      <c r="G994" t="b">
        <v>1</v>
      </c>
      <c r="H994">
        <f>(Table1[[#This Row],[price]]*Table1[[#This Row],[units_sold]])</f>
        <v>27908.29</v>
      </c>
      <c r="I994" t="str">
        <f>IF(Table1[[#This Row],[in_stock]]=TRUE,"Available","Out of stock")</f>
        <v>Available</v>
      </c>
      <c r="J994" t="str">
        <f>IF(Table1[[#This Row],[rating]]&gt;=4,"High",IF(Table1[[#This Row],[rating]]&gt;=2.5,"Medium","Low"))</f>
        <v>Low</v>
      </c>
      <c r="K994" t="str">
        <f>IF(Table1[[#This Row],[price]]&lt;200,"Budget",IF(Table1[[#This Row],[price]]&lt;600,"Mid-Range",IF(Table1[[#This Row],[price]]&lt;1000,"Premium","Luxury")))</f>
        <v>Premium</v>
      </c>
      <c r="L994" t="str">
        <f>IF(Table1[[#This Row],[units_sold]]&lt;50,"Very Low",IF(Table1[[#This Row],[units_sold]]&lt;150,"Low",IF(Table1[[#This Row],[units_sold]]&lt;300,"Medium","High")))</f>
        <v>Very Low</v>
      </c>
      <c r="M994" t="str">
        <f t="shared" si="31"/>
        <v>Normal</v>
      </c>
      <c r="N994">
        <f>(Table1[[#This Row],[price]]*0.7)</f>
        <v>476.483</v>
      </c>
    </row>
    <row r="995" spans="1:14" x14ac:dyDescent="0.35">
      <c r="A995" t="str">
        <f t="shared" si="30"/>
        <v>P994</v>
      </c>
      <c r="B995" t="s">
        <v>6</v>
      </c>
      <c r="C995" t="s">
        <v>7</v>
      </c>
      <c r="D995">
        <v>348.18</v>
      </c>
      <c r="E995">
        <v>17</v>
      </c>
      <c r="F995">
        <v>1.9</v>
      </c>
      <c r="G995" t="b">
        <v>0</v>
      </c>
      <c r="H995">
        <f>(Table1[[#This Row],[price]]*Table1[[#This Row],[units_sold]])</f>
        <v>5919.06</v>
      </c>
      <c r="I995" t="str">
        <f>IF(Table1[[#This Row],[in_stock]]=TRUE,"Available","Out of stock")</f>
        <v>Out of stock</v>
      </c>
      <c r="J995" t="str">
        <f>IF(Table1[[#This Row],[rating]]&gt;=4,"High",IF(Table1[[#This Row],[rating]]&gt;=2.5,"Medium","Low"))</f>
        <v>Low</v>
      </c>
      <c r="K995" t="str">
        <f>IF(Table1[[#This Row],[price]]&lt;200,"Budget",IF(Table1[[#This Row],[price]]&lt;600,"Mid-Range",IF(Table1[[#This Row],[price]]&lt;1000,"Premium","Luxury")))</f>
        <v>Mid-Range</v>
      </c>
      <c r="L995" t="str">
        <f>IF(Table1[[#This Row],[units_sold]]&lt;50,"Very Low",IF(Table1[[#This Row],[units_sold]]&lt;150,"Low",IF(Table1[[#This Row],[units_sold]]&lt;300,"Medium","High")))</f>
        <v>Very Low</v>
      </c>
      <c r="M995" t="str">
        <f t="shared" si="31"/>
        <v>Normal</v>
      </c>
      <c r="N995">
        <f>(Table1[[#This Row],[price]]*0.7)</f>
        <v>243.726</v>
      </c>
    </row>
    <row r="996" spans="1:14" x14ac:dyDescent="0.35">
      <c r="A996" t="str">
        <f t="shared" si="30"/>
        <v>P995</v>
      </c>
      <c r="B996" t="s">
        <v>14</v>
      </c>
      <c r="C996" t="s">
        <v>9</v>
      </c>
      <c r="D996">
        <v>1335.19</v>
      </c>
      <c r="E996">
        <v>344</v>
      </c>
      <c r="F996">
        <v>2.4</v>
      </c>
      <c r="G996" t="b">
        <v>1</v>
      </c>
      <c r="H996">
        <f>(Table1[[#This Row],[price]]*Table1[[#This Row],[units_sold]])</f>
        <v>459305.36000000004</v>
      </c>
      <c r="I996" t="str">
        <f>IF(Table1[[#This Row],[in_stock]]=TRUE,"Available","Out of stock")</f>
        <v>Available</v>
      </c>
      <c r="J996" t="str">
        <f>IF(Table1[[#This Row],[rating]]&gt;=4,"High",IF(Table1[[#This Row],[rating]]&gt;=2.5,"Medium","Low"))</f>
        <v>Low</v>
      </c>
      <c r="K996" t="str">
        <f>IF(Table1[[#This Row],[price]]&lt;200,"Budget",IF(Table1[[#This Row],[price]]&lt;600,"Mid-Range",IF(Table1[[#This Row],[price]]&lt;1000,"Premium","Luxury")))</f>
        <v>Luxury</v>
      </c>
      <c r="L996" t="str">
        <f>IF(Table1[[#This Row],[units_sold]]&lt;50,"Very Low",IF(Table1[[#This Row],[units_sold]]&lt;150,"Low",IF(Table1[[#This Row],[units_sold]]&lt;300,"Medium","High")))</f>
        <v>High</v>
      </c>
      <c r="M996" t="str">
        <f t="shared" si="31"/>
        <v>Normal</v>
      </c>
      <c r="N996">
        <f>(Table1[[#This Row],[price]]*0.7)</f>
        <v>934.63299999999992</v>
      </c>
    </row>
    <row r="997" spans="1:14" x14ac:dyDescent="0.35">
      <c r="A997" t="str">
        <f t="shared" si="30"/>
        <v>P996</v>
      </c>
      <c r="B997" t="s">
        <v>10</v>
      </c>
      <c r="C997" t="s">
        <v>9</v>
      </c>
      <c r="D997">
        <v>681.42</v>
      </c>
      <c r="E997">
        <v>277</v>
      </c>
      <c r="F997">
        <v>2.5</v>
      </c>
      <c r="G997" t="b">
        <v>1</v>
      </c>
      <c r="H997">
        <f>(Table1[[#This Row],[price]]*Table1[[#This Row],[units_sold]])</f>
        <v>188753.34</v>
      </c>
      <c r="I997" t="str">
        <f>IF(Table1[[#This Row],[in_stock]]=TRUE,"Available","Out of stock")</f>
        <v>Available</v>
      </c>
      <c r="J997" t="str">
        <f>IF(Table1[[#This Row],[rating]]&gt;=4,"High",IF(Table1[[#This Row],[rating]]&gt;=2.5,"Medium","Low"))</f>
        <v>Medium</v>
      </c>
      <c r="K997" t="str">
        <f>IF(Table1[[#This Row],[price]]&lt;200,"Budget",IF(Table1[[#This Row],[price]]&lt;600,"Mid-Range",IF(Table1[[#This Row],[price]]&lt;1000,"Premium","Luxury")))</f>
        <v>Premium</v>
      </c>
      <c r="L997" t="str">
        <f>IF(Table1[[#This Row],[units_sold]]&lt;50,"Very Low",IF(Table1[[#This Row],[units_sold]]&lt;150,"Low",IF(Table1[[#This Row],[units_sold]]&lt;300,"Medium","High")))</f>
        <v>Medium</v>
      </c>
      <c r="M997" t="str">
        <f t="shared" si="31"/>
        <v>Normal</v>
      </c>
      <c r="N997">
        <f>(Table1[[#This Row],[price]]*0.7)</f>
        <v>476.99399999999991</v>
      </c>
    </row>
    <row r="998" spans="1:14" x14ac:dyDescent="0.35">
      <c r="A998" t="str">
        <f t="shared" si="30"/>
        <v>P997</v>
      </c>
      <c r="B998" t="s">
        <v>10</v>
      </c>
      <c r="C998" t="s">
        <v>9</v>
      </c>
      <c r="D998">
        <v>1324.86</v>
      </c>
      <c r="E998">
        <v>307</v>
      </c>
      <c r="F998">
        <v>1.3</v>
      </c>
      <c r="G998" t="b">
        <v>1</v>
      </c>
      <c r="H998">
        <f>(Table1[[#This Row],[price]]*Table1[[#This Row],[units_sold]])</f>
        <v>406732.01999999996</v>
      </c>
      <c r="I998" t="str">
        <f>IF(Table1[[#This Row],[in_stock]]=TRUE,"Available","Out of stock")</f>
        <v>Available</v>
      </c>
      <c r="J998" t="str">
        <f>IF(Table1[[#This Row],[rating]]&gt;=4,"High",IF(Table1[[#This Row],[rating]]&gt;=2.5,"Medium","Low"))</f>
        <v>Low</v>
      </c>
      <c r="K998" t="str">
        <f>IF(Table1[[#This Row],[price]]&lt;200,"Budget",IF(Table1[[#This Row],[price]]&lt;600,"Mid-Range",IF(Table1[[#This Row],[price]]&lt;1000,"Premium","Luxury")))</f>
        <v>Luxury</v>
      </c>
      <c r="L998" t="str">
        <f>IF(Table1[[#This Row],[units_sold]]&lt;50,"Very Low",IF(Table1[[#This Row],[units_sold]]&lt;150,"Low",IF(Table1[[#This Row],[units_sold]]&lt;300,"Medium","High")))</f>
        <v>High</v>
      </c>
      <c r="M998" t="str">
        <f t="shared" si="31"/>
        <v>Normal</v>
      </c>
      <c r="N998">
        <f>(Table1[[#This Row],[price]]*0.7)</f>
        <v>927.40199999999982</v>
      </c>
    </row>
    <row r="999" spans="1:14" x14ac:dyDescent="0.35">
      <c r="A999" t="str">
        <f t="shared" si="30"/>
        <v>P998</v>
      </c>
      <c r="B999" t="s">
        <v>6</v>
      </c>
      <c r="C999" t="s">
        <v>7</v>
      </c>
      <c r="D999">
        <v>167.48</v>
      </c>
      <c r="E999">
        <v>59</v>
      </c>
      <c r="F999">
        <v>2.5</v>
      </c>
      <c r="G999" t="b">
        <v>0</v>
      </c>
      <c r="H999">
        <f>(Table1[[#This Row],[price]]*Table1[[#This Row],[units_sold]])</f>
        <v>9881.32</v>
      </c>
      <c r="I999" t="str">
        <f>IF(Table1[[#This Row],[in_stock]]=TRUE,"Available","Out of stock")</f>
        <v>Out of stock</v>
      </c>
      <c r="J999" t="str">
        <f>IF(Table1[[#This Row],[rating]]&gt;=4,"High",IF(Table1[[#This Row],[rating]]&gt;=2.5,"Medium","Low"))</f>
        <v>Medium</v>
      </c>
      <c r="K999" t="str">
        <f>IF(Table1[[#This Row],[price]]&lt;200,"Budget",IF(Table1[[#This Row],[price]]&lt;600,"Mid-Range",IF(Table1[[#This Row],[price]]&lt;1000,"Premium","Luxury")))</f>
        <v>Budget</v>
      </c>
      <c r="L999" t="str">
        <f>IF(Table1[[#This Row],[units_sold]]&lt;50,"Very Low",IF(Table1[[#This Row],[units_sold]]&lt;150,"Low",IF(Table1[[#This Row],[units_sold]]&lt;300,"Medium","High")))</f>
        <v>Low</v>
      </c>
      <c r="M999" t="str">
        <f t="shared" si="31"/>
        <v>Normal</v>
      </c>
      <c r="N999">
        <f>(Table1[[#This Row],[price]]*0.7)</f>
        <v>117.23599999999999</v>
      </c>
    </row>
    <row r="1000" spans="1:14" x14ac:dyDescent="0.35">
      <c r="A1000" t="str">
        <f t="shared" si="30"/>
        <v>P999</v>
      </c>
      <c r="B1000" t="s">
        <v>11</v>
      </c>
      <c r="C1000" t="s">
        <v>9</v>
      </c>
      <c r="D1000">
        <v>1482.53</v>
      </c>
      <c r="E1000">
        <v>423</v>
      </c>
      <c r="F1000">
        <v>2.9</v>
      </c>
      <c r="G1000" t="b">
        <v>1</v>
      </c>
      <c r="H1000">
        <f>(Table1[[#This Row],[price]]*Table1[[#This Row],[units_sold]])</f>
        <v>627110.18999999994</v>
      </c>
      <c r="I1000" t="str">
        <f>IF(Table1[[#This Row],[in_stock]]=TRUE,"Available","Out of stock")</f>
        <v>Available</v>
      </c>
      <c r="J1000" t="str">
        <f>IF(Table1[[#This Row],[rating]]&gt;=4,"High",IF(Table1[[#This Row],[rating]]&gt;=2.5,"Medium","Low"))</f>
        <v>Medium</v>
      </c>
      <c r="K1000" t="str">
        <f>IF(Table1[[#This Row],[price]]&lt;200,"Budget",IF(Table1[[#This Row],[price]]&lt;600,"Mid-Range",IF(Table1[[#This Row],[price]]&lt;1000,"Premium","Luxury")))</f>
        <v>Luxury</v>
      </c>
      <c r="L1000" t="str">
        <f>IF(Table1[[#This Row],[units_sold]]&lt;50,"Very Low",IF(Table1[[#This Row],[units_sold]]&lt;150,"Low",IF(Table1[[#This Row],[units_sold]]&lt;300,"Medium","High")))</f>
        <v>High</v>
      </c>
      <c r="M1000" t="str">
        <f t="shared" si="31"/>
        <v>Normal</v>
      </c>
      <c r="N1000">
        <f>(Table1[[#This Row],[price]]*0.7)</f>
        <v>1037.771</v>
      </c>
    </row>
    <row r="1001" spans="1:14" x14ac:dyDescent="0.35">
      <c r="A1001" t="str">
        <f t="shared" si="30"/>
        <v>P1000</v>
      </c>
      <c r="B1001" t="s">
        <v>8</v>
      </c>
      <c r="C1001" t="s">
        <v>9</v>
      </c>
      <c r="D1001">
        <v>670.48</v>
      </c>
      <c r="E1001">
        <v>183</v>
      </c>
      <c r="F1001">
        <v>3.9</v>
      </c>
      <c r="G1001" t="b">
        <v>1</v>
      </c>
      <c r="H1001">
        <f>(Table1[[#This Row],[price]]*Table1[[#This Row],[units_sold]])</f>
        <v>122697.84</v>
      </c>
      <c r="I1001" t="str">
        <f>IF(Table1[[#This Row],[in_stock]]=TRUE,"Available","Out of stock")</f>
        <v>Available</v>
      </c>
      <c r="J1001" t="str">
        <f>IF(Table1[[#This Row],[rating]]&gt;=4,"High",IF(Table1[[#This Row],[rating]]&gt;=2.5,"Medium","Low"))</f>
        <v>Medium</v>
      </c>
      <c r="K1001" t="str">
        <f>IF(Table1[[#This Row],[price]]&lt;200,"Budget",IF(Table1[[#This Row],[price]]&lt;600,"Mid-Range",IF(Table1[[#This Row],[price]]&lt;1000,"Premium","Luxury")))</f>
        <v>Premium</v>
      </c>
      <c r="L1001" t="str">
        <f>IF(Table1[[#This Row],[units_sold]]&lt;50,"Very Low",IF(Table1[[#This Row],[units_sold]]&lt;150,"Low",IF(Table1[[#This Row],[units_sold]]&lt;300,"Medium","High")))</f>
        <v>Medium</v>
      </c>
      <c r="M1001" t="str">
        <f t="shared" si="31"/>
        <v>Normal</v>
      </c>
      <c r="N1001">
        <f>(Table1[[#This Row],[price]]*0.7)</f>
        <v>469.33599999999996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DATA_ANALYSIS_PROJECT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Harshith Komanpally</dc:creator>
  <cp:lastModifiedBy>Hp</cp:lastModifiedBy>
  <dcterms:created xsi:type="dcterms:W3CDTF">2026-04-01T20:57:28Z</dcterms:created>
  <dcterms:modified xsi:type="dcterms:W3CDTF">2026-04-21T18:06:06Z</dcterms:modified>
</cp:coreProperties>
</file>